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ül Durumu" sheetId="1" state="visible" r:id="rId3"/>
    <sheet name="API Endpoint'leri" sheetId="2" state="visible" r:id="rId4"/>
    <sheet name="Bağımlılıklar" sheetId="3" state="visible" r:id="rId5"/>
    <sheet name="Test Kapsamı" sheetId="4" state="visible" r:id="rId6"/>
    <sheet name="Eksikler ve Sorunlar" sheetId="5" state="visible" r:id="rId7"/>
    <sheet name="Proje İstatistikleri" sheetId="6" state="visible" r:id="rId8"/>
  </sheets>
  <definedNames>
    <definedName function="false" hidden="true" localSheetId="1" name="_xlnm._FilterDatabase" vbProcedure="false">'API Endpoint''leri'!$A$1:$G$1</definedName>
    <definedName function="false" hidden="true" localSheetId="2" name="_xlnm._FilterDatabase" vbProcedure="false">Bağımlılıklar!$A$1:$F$1</definedName>
    <definedName function="false" hidden="true" localSheetId="4" name="_xlnm._FilterDatabase" vbProcedure="false">'Eksikler ve Sorunlar'!$A$1:$F$1</definedName>
    <definedName function="false" hidden="true" localSheetId="0" name="_xlnm._FilterDatabase" vbProcedure="false">'Modül Durumu'!$A$1:$H$1</definedName>
    <definedName function="false" hidden="true" localSheetId="5" name="_xlnm._FilterDatabase" vbProcedure="false">'Proje İstatistikleri'!$A$1:$C$1</definedName>
    <definedName function="false" hidden="true" localSheetId="3" name="_xlnm._FilterDatabase" vbProcedure="false">'Test Kapsamı'!$A$1:$E$1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<sst xmlns="http://schemas.openxmlformats.org/spreadsheetml/2006/main" count="1235" uniqueCount="636">
  <si>
    <t xml:space="preserve">Modül Adı</t>
  </si>
  <si>
    <t xml:space="preserve">Dosya Yolu</t>
  </si>
  <si>
    <t xml:space="preserve">Satır Sayısı</t>
  </si>
  <si>
    <t xml:space="preserve">Boyut (KB)</t>
  </si>
  <si>
    <t xml:space="preserve">Syntax</t>
  </si>
  <si>
    <t xml:space="preserve">Import Durumu</t>
  </si>
  <si>
    <t xml:space="preserve">Durum</t>
  </si>
  <si>
    <t xml:space="preserve">Notlar</t>
  </si>
  <si>
    <t xml:space="preserve">app/__init__</t>
  </si>
  <si>
    <t xml:space="preserve">app/__init__.py</t>
  </si>
  <si>
    <t xml:space="preserve">✅ OK</t>
  </si>
  <si>
    <t xml:space="preserve">✅ Çalışıyor</t>
  </si>
  <si>
    <t xml:space="preserve">Ana paket başlatıcı</t>
  </si>
  <si>
    <t xml:space="preserve">api/__init__</t>
  </si>
  <si>
    <t xml:space="preserve">app/api/__init__.py</t>
  </si>
  <si>
    <t xml:space="preserve">Router import'ları</t>
  </si>
  <si>
    <t xml:space="preserve">enhancement_routes</t>
  </si>
  <si>
    <t xml:space="preserve">app/api/enhancement_routes.py</t>
  </si>
  <si>
    <t xml:space="preserve">Platform yönetim endpoint'leri</t>
  </si>
  <si>
    <t xml:space="preserve">learning_routes</t>
  </si>
  <si>
    <t xml:space="preserve">app/api/learning_routes.py</t>
  </si>
  <si>
    <t xml:space="preserve">Self-learning API endpoint'leri</t>
  </si>
  <si>
    <t xml:space="preserve">qa_routes</t>
  </si>
  <si>
    <t xml:space="preserve">app/api/qa_routes.py</t>
  </si>
  <si>
    <t xml:space="preserve">⚠️ Eksik Import</t>
  </si>
  <si>
    <t xml:space="preserve">🔶 Kısmi</t>
  </si>
  <si>
    <t xml:space="preserve">playwright, pages.* modülleri eksik (project_scaffolder bağımlılığı)</t>
  </si>
  <si>
    <t xml:space="preserve">routes</t>
  </si>
  <si>
    <t xml:space="preserve">app/api/routes.py</t>
  </si>
  <si>
    <t xml:space="preserve">Ana API router - en büyük route dosyası</t>
  </si>
  <si>
    <t xml:space="preserve">config</t>
  </si>
  <si>
    <t xml:space="preserve">app/config.py</t>
  </si>
  <si>
    <t xml:space="preserve">Pydantic-settings yapılandırma</t>
  </si>
  <si>
    <t xml:space="preserve">main</t>
  </si>
  <si>
    <t xml:space="preserve">app/main.py</t>
  </si>
  <si>
    <t xml:space="preserve">FastAPI uygulama başlatıcı</t>
  </si>
  <si>
    <t xml:space="preserve">middleware/__init__</t>
  </si>
  <si>
    <t xml:space="preserve">app/middleware/__init__.py</t>
  </si>
  <si>
    <t xml:space="preserve">Middleware export</t>
  </si>
  <si>
    <t xml:space="preserve">error_handler</t>
  </si>
  <si>
    <t xml:space="preserve">app/middleware/error_handler.py</t>
  </si>
  <si>
    <t xml:space="preserve">Hata yakalama middleware</t>
  </si>
  <si>
    <t xml:space="preserve">rate_limiter</t>
  </si>
  <si>
    <t xml:space="preserve">app/middleware/rate_limiter.py</t>
  </si>
  <si>
    <t xml:space="preserve">Rate limiting middleware</t>
  </si>
  <si>
    <t xml:space="preserve">models/__init__</t>
  </si>
  <si>
    <t xml:space="preserve">app/models/__init__.py</t>
  </si>
  <si>
    <t xml:space="preserve">Model export'ları</t>
  </si>
  <si>
    <t xml:space="preserve">database</t>
  </si>
  <si>
    <t xml:space="preserve">app/models/database.py</t>
  </si>
  <si>
    <t xml:space="preserve">SQLAlchemy veritabanı bağlantısı</t>
  </si>
  <si>
    <t xml:space="preserve">dataset</t>
  </si>
  <si>
    <t xml:space="preserve">app/models/dataset.py</t>
  </si>
  <si>
    <t xml:space="preserve">Dataset SQLAlchemy modelleri</t>
  </si>
  <si>
    <t xml:space="preserve">learning_models</t>
  </si>
  <si>
    <t xml:space="preserve">app/models/learning_models.py</t>
  </si>
  <si>
    <t xml:space="preserve">Öğrenme modeli tabloları</t>
  </si>
  <si>
    <t xml:space="preserve">schemas/__init__</t>
  </si>
  <si>
    <t xml:space="preserve">app/schemas/__init__.py</t>
  </si>
  <si>
    <t xml:space="preserve">Schema export'ları</t>
  </si>
  <si>
    <t xml:space="preserve">schemas/dataset</t>
  </si>
  <si>
    <t xml:space="preserve">app/schemas/dataset.py</t>
  </si>
  <si>
    <t xml:space="preserve">Pydantic dataset şemaları</t>
  </si>
  <si>
    <t xml:space="preserve">schemas/learning</t>
  </si>
  <si>
    <t xml:space="preserve">app/schemas/learning_schemas.py</t>
  </si>
  <si>
    <t xml:space="preserve">Learning Pydantic şemaları</t>
  </si>
  <si>
    <t xml:space="preserve">schemas/qa</t>
  </si>
  <si>
    <t xml:space="preserve">app/schemas/qa_schemas.py</t>
  </si>
  <si>
    <t xml:space="preserve">QA Pydantic şemaları</t>
  </si>
  <si>
    <t xml:space="preserve">services/__init__</t>
  </si>
  <si>
    <t xml:space="preserve">app/services/__init__.py</t>
  </si>
  <si>
    <t xml:space="preserve">Servis export'ları</t>
  </si>
  <si>
    <t xml:space="preserve">audit_logger</t>
  </si>
  <si>
    <t xml:space="preserve">app/services/audit_logger.py</t>
  </si>
  <si>
    <t xml:space="preserve">Denetim günlüğü servisi + router</t>
  </si>
  <si>
    <t xml:space="preserve">column_classifier</t>
  </si>
  <si>
    <t xml:space="preserve">app/services/column_classifier.py</t>
  </si>
  <si>
    <t xml:space="preserve">Kolon sınıflandırma motoru</t>
  </si>
  <si>
    <t xml:space="preserve">data_versioning</t>
  </si>
  <si>
    <t xml:space="preserve">app/services/data_versioning.py</t>
  </si>
  <si>
    <t xml:space="preserve">Veri versiyonlama servisi</t>
  </si>
  <si>
    <t xml:space="preserve">export_templates</t>
  </si>
  <si>
    <t xml:space="preserve">app/services/export_templates.py</t>
  </si>
  <si>
    <t xml:space="preserve">Dışa aktarım şablonları</t>
  </si>
  <si>
    <t xml:space="preserve">llm_service</t>
  </si>
  <si>
    <t xml:space="preserve">app/services/llm_service.py</t>
  </si>
  <si>
    <t xml:space="preserve">openai, anthropic paketleri opsiyonel (fallback NLP var)</t>
  </si>
  <si>
    <t xml:space="preserve">monkey_tester</t>
  </si>
  <si>
    <t xml:space="preserve">app/services/monkey_tester.py</t>
  </si>
  <si>
    <t xml:space="preserve">Monkey testing motoru</t>
  </si>
  <si>
    <t xml:space="preserve">pii_detector</t>
  </si>
  <si>
    <t xml:space="preserve">app/services/pii_detector.py</t>
  </si>
  <si>
    <t xml:space="preserve">PII (Kişisel Veri) tespit motoru</t>
  </si>
  <si>
    <t xml:space="preserve">project_scaffolder</t>
  </si>
  <si>
    <t xml:space="preserve">app/services/project_scaffolder.py</t>
  </si>
  <si>
    <t xml:space="preserve">playwright, faker, dotenv, pages.* modülleri runtime'da gerekli</t>
  </si>
  <si>
    <t xml:space="preserve">qa_engine</t>
  </si>
  <si>
    <t xml:space="preserve">app/services/qa_engine.py</t>
  </si>
  <si>
    <t xml:space="preserve">playwright, pages.* modülleri runtime'da gerekli</t>
  </si>
  <si>
    <t xml:space="preserve">quality_dashboard</t>
  </si>
  <si>
    <t xml:space="preserve">app/services/quality_dashboard.py</t>
  </si>
  <si>
    <t xml:space="preserve">Kalite gösterge paneli</t>
  </si>
  <si>
    <t xml:space="preserve">relationship_inference</t>
  </si>
  <si>
    <t xml:space="preserve">app/services/relationship_inference.py</t>
  </si>
  <si>
    <t xml:space="preserve">İlişki çıkarım motoru</t>
  </si>
  <si>
    <t xml:space="preserve">rule_engine</t>
  </si>
  <si>
    <t xml:space="preserve">app/services/rule_engine.py</t>
  </si>
  <si>
    <t xml:space="preserve">Kural çıkarım motoru</t>
  </si>
  <si>
    <t xml:space="preserve">scenario_generator</t>
  </si>
  <si>
    <t xml:space="preserve">app/services/scenario_generator.py</t>
  </si>
  <si>
    <t xml:space="preserve">Senaryo üretim motoru</t>
  </si>
  <si>
    <t xml:space="preserve">schema_analyzer</t>
  </si>
  <si>
    <t xml:space="preserve">app/services/schema_analyzer.py</t>
  </si>
  <si>
    <t xml:space="preserve">Şema analiz motoru</t>
  </si>
  <si>
    <t xml:space="preserve">self_learning</t>
  </si>
  <si>
    <t xml:space="preserve">app/services/self_learning.py</t>
  </si>
  <si>
    <t xml:space="preserve">Kendi kendine öğrenme motoru</t>
  </si>
  <si>
    <t xml:space="preserve">synthetic_generator</t>
  </si>
  <si>
    <t xml:space="preserve">app/services/synthetic_generator.py</t>
  </si>
  <si>
    <t xml:space="preserve">Sentetik veri üretim motoru (en büyük modül)</t>
  </si>
  <si>
    <t xml:space="preserve">webhook_service</t>
  </si>
  <si>
    <t xml:space="preserve">app/services/webhook_service.py</t>
  </si>
  <si>
    <t xml:space="preserve">Webhook yönetim servisi</t>
  </si>
  <si>
    <t xml:space="preserve">utils/__init__</t>
  </si>
  <si>
    <t xml:space="preserve">app/utils/__init__.py</t>
  </si>
  <si>
    <t xml:space="preserve">Yardımcı fonksiyon export'ları</t>
  </si>
  <si>
    <t xml:space="preserve">helpers</t>
  </si>
  <si>
    <t xml:space="preserve">app/utils/helpers.py</t>
  </si>
  <si>
    <t xml:space="preserve">Yardımcı fonksiyonlar</t>
  </si>
  <si>
    <t xml:space="preserve">tests/__init__</t>
  </si>
  <si>
    <t xml:space="preserve">tests/__init__.py</t>
  </si>
  <si>
    <t xml:space="preserve">Test paketi başlatıcı</t>
  </si>
  <si>
    <t xml:space="preserve">conftest</t>
  </si>
  <si>
    <t xml:space="preserve">tests/conftest.py</t>
  </si>
  <si>
    <t xml:space="preserve">Test fixture'ları ve yapılandırma</t>
  </si>
  <si>
    <t xml:space="preserve">test_api</t>
  </si>
  <si>
    <t xml:space="preserve">tests/test_api.py</t>
  </si>
  <si>
    <t xml:space="preserve">API endpoint testleri</t>
  </si>
  <si>
    <t xml:space="preserve">test_column_classifier</t>
  </si>
  <si>
    <t xml:space="preserve">tests/test_column_classifier.py</t>
  </si>
  <si>
    <t xml:space="preserve">Kolon sınıflandırma testleri</t>
  </si>
  <si>
    <t xml:space="preserve">test_enhancements</t>
  </si>
  <si>
    <t xml:space="preserve">tests/test_enhancements.py</t>
  </si>
  <si>
    <t xml:space="preserve">Geliştirme testleri (rate limit, audit, webhook vb.)</t>
  </si>
  <si>
    <t xml:space="preserve">test_integration</t>
  </si>
  <si>
    <t xml:space="preserve">tests/test_integration.py</t>
  </si>
  <si>
    <t xml:space="preserve">Entegrasyon testleri</t>
  </si>
  <si>
    <t xml:space="preserve">test_llm_service</t>
  </si>
  <si>
    <t xml:space="preserve">tests/test_llm_service.py</t>
  </si>
  <si>
    <t xml:space="preserve">app.config.settings import hatası olabilir (settings modül, obje değil)</t>
  </si>
  <si>
    <t xml:space="preserve">test_performance</t>
  </si>
  <si>
    <t xml:space="preserve">tests/test_performance.py</t>
  </si>
  <si>
    <t xml:space="preserve">Performans testleri</t>
  </si>
  <si>
    <t xml:space="preserve">test_pii_detector</t>
  </si>
  <si>
    <t xml:space="preserve">tests/test_pii_detector.py</t>
  </si>
  <si>
    <t xml:space="preserve">PII tespit testleri</t>
  </si>
  <si>
    <t xml:space="preserve">test_qa_engine</t>
  </si>
  <si>
    <t xml:space="preserve">tests/test_qa_engine.py</t>
  </si>
  <si>
    <t xml:space="preserve">QA engine testleri</t>
  </si>
  <si>
    <t xml:space="preserve">test_rule_engine</t>
  </si>
  <si>
    <t xml:space="preserve">tests/test_rule_engine.py</t>
  </si>
  <si>
    <t xml:space="preserve">Kural motoru testleri</t>
  </si>
  <si>
    <t xml:space="preserve">test_scenario_generator</t>
  </si>
  <si>
    <t xml:space="preserve">tests/test_scenario_generator.py</t>
  </si>
  <si>
    <t xml:space="preserve">Senaryo üretici testleri</t>
  </si>
  <si>
    <t xml:space="preserve">test_schema_analyzer</t>
  </si>
  <si>
    <t xml:space="preserve">tests/test_schema_analyzer.py</t>
  </si>
  <si>
    <t xml:space="preserve">Şema analiz testleri</t>
  </si>
  <si>
    <t xml:space="preserve">test_synthetic_generator</t>
  </si>
  <si>
    <t xml:space="preserve">tests/test_synthetic_generator.py</t>
  </si>
  <si>
    <t xml:space="preserve">Sentetik veri testleri</t>
  </si>
  <si>
    <t xml:space="preserve">TOPLAM</t>
  </si>
  <si>
    <t xml:space="preserve">#</t>
  </si>
  <si>
    <t xml:space="preserve">Endpoint</t>
  </si>
  <si>
    <t xml:space="preserve">Method</t>
  </si>
  <si>
    <t xml:space="preserve">Fonksiyon</t>
  </si>
  <si>
    <t xml:space="preserve">Dosya</t>
  </si>
  <si>
    <t xml:space="preserve">Açıklama</t>
  </si>
  <si>
    <t xml:space="preserve">/api/upload</t>
  </si>
  <si>
    <t xml:space="preserve">POST</t>
  </si>
  <si>
    <t xml:space="preserve">upload_file</t>
  </si>
  <si>
    <t xml:space="preserve">CSV/Excel dosya yükleme</t>
  </si>
  <si>
    <t xml:space="preserve">/api/analyze/{dataset_id}</t>
  </si>
  <si>
    <t xml:space="preserve">analyze_dataset</t>
  </si>
  <si>
    <t xml:space="preserve">Dataset analizi başlat</t>
  </si>
  <si>
    <t xml:space="preserve">/api/classify/{dataset_id}</t>
  </si>
  <si>
    <t xml:space="preserve">classify_columns</t>
  </si>
  <si>
    <t xml:space="preserve">Kolon sınıflandırma</t>
  </si>
  <si>
    <t xml:space="preserve">/api/pii/{dataset_id}</t>
  </si>
  <si>
    <t xml:space="preserve">detect_pii</t>
  </si>
  <si>
    <t xml:space="preserve">PII tespiti</t>
  </si>
  <si>
    <t xml:space="preserve">/api/rules/{dataset_id}</t>
  </si>
  <si>
    <t xml:space="preserve">infer_rules</t>
  </si>
  <si>
    <t xml:space="preserve">Kural çıkarımı</t>
  </si>
  <si>
    <t xml:space="preserve">/api/relationships/{dataset_id}</t>
  </si>
  <si>
    <t xml:space="preserve">infer_relationships</t>
  </si>
  <si>
    <t xml:space="preserve">İlişki çıkarımı</t>
  </si>
  <si>
    <t xml:space="preserve">/api/generate/{dataset_id}</t>
  </si>
  <si>
    <t xml:space="preserve">generate_data</t>
  </si>
  <si>
    <t xml:space="preserve">Sentetik veri üretimi</t>
  </si>
  <si>
    <t xml:space="preserve">/api/scenario</t>
  </si>
  <si>
    <t xml:space="preserve">generate_scenario</t>
  </si>
  <si>
    <t xml:space="preserve">Senaryo bazlı üretim</t>
  </si>
  <si>
    <t xml:space="preserve">/api/generate-natural</t>
  </si>
  <si>
    <t xml:space="preserve">generate_natural</t>
  </si>
  <si>
    <t xml:space="preserve">Doğal dil ile üretim (LLM)</t>
  </si>
  <si>
    <t xml:space="preserve">/api/datasets</t>
  </si>
  <si>
    <t xml:space="preserve">GET</t>
  </si>
  <si>
    <t xml:space="preserve">list_datasets</t>
  </si>
  <si>
    <t xml:space="preserve">Dataset listesi</t>
  </si>
  <si>
    <t xml:space="preserve">/api/datasets/{dataset_id}</t>
  </si>
  <si>
    <t xml:space="preserve">get_dataset</t>
  </si>
  <si>
    <t xml:space="preserve">Dataset detayı</t>
  </si>
  <si>
    <t xml:space="preserve">/api/datasets/{id}/columns</t>
  </si>
  <si>
    <t xml:space="preserve">get_columns</t>
  </si>
  <si>
    <t xml:space="preserve">Kolon listesi</t>
  </si>
  <si>
    <t xml:space="preserve">/api/datasets/{id}/rules</t>
  </si>
  <si>
    <t xml:space="preserve">get_rules</t>
  </si>
  <si>
    <t xml:space="preserve">Kurallar listesi</t>
  </si>
  <si>
    <t xml:space="preserve">/api/datasets/{id}/relationships</t>
  </si>
  <si>
    <t xml:space="preserve">get_relationships</t>
  </si>
  <si>
    <t xml:space="preserve">İlişkiler listesi</t>
  </si>
  <si>
    <t xml:space="preserve">DELETE</t>
  </si>
  <si>
    <t xml:space="preserve">delete_dataset</t>
  </si>
  <si>
    <t xml:space="preserve">Dataset silme</t>
  </si>
  <si>
    <t xml:space="preserve">/api/export/{dataset_id}</t>
  </si>
  <si>
    <t xml:space="preserve">export_data</t>
  </si>
  <si>
    <t xml:space="preserve">Veri dışa aktarım</t>
  </si>
  <si>
    <t xml:space="preserve">/api/jobs</t>
  </si>
  <si>
    <t xml:space="preserve">list_jobs</t>
  </si>
  <si>
    <t xml:space="preserve">İş listesi</t>
  </si>
  <si>
    <t xml:space="preserve">/api/jobs/{job_id}</t>
  </si>
  <si>
    <t xml:space="preserve">get_job</t>
  </si>
  <si>
    <t xml:space="preserve">İş detayı</t>
  </si>
  <si>
    <t xml:space="preserve">/api/scenarios</t>
  </si>
  <si>
    <t xml:space="preserve">list_scenarios</t>
  </si>
  <si>
    <t xml:space="preserve">Senaryo listesi</t>
  </si>
  <si>
    <t xml:space="preserve">/api/health</t>
  </si>
  <si>
    <t xml:space="preserve">health_check</t>
  </si>
  <si>
    <t xml:space="preserve">Sağlık kontrolü</t>
  </si>
  <si>
    <t xml:space="preserve">/api/stats</t>
  </si>
  <si>
    <t xml:space="preserve">get_stats</t>
  </si>
  <si>
    <t xml:space="preserve">İstatistikler</t>
  </si>
  <si>
    <t xml:space="preserve">/api/qa/analyze-url</t>
  </si>
  <si>
    <t xml:space="preserve">analyze_url</t>
  </si>
  <si>
    <t xml:space="preserve">URL analizi</t>
  </si>
  <si>
    <t xml:space="preserve">/api/qa/test-plan</t>
  </si>
  <si>
    <t xml:space="preserve">generate_test_plan</t>
  </si>
  <si>
    <t xml:space="preserve">Test planı oluştur</t>
  </si>
  <si>
    <t xml:space="preserve">/api/qa/automation</t>
  </si>
  <si>
    <t xml:space="preserve">generate_automation</t>
  </si>
  <si>
    <t xml:space="preserve">Otomasyon scripti üret</t>
  </si>
  <si>
    <t xml:space="preserve">/api/qa/run-tests</t>
  </si>
  <si>
    <t xml:space="preserve">run_tests</t>
  </si>
  <si>
    <t xml:space="preserve">Testleri çalıştır</t>
  </si>
  <si>
    <t xml:space="preserve">/api/qa/monkey-test</t>
  </si>
  <si>
    <t xml:space="preserve">run_monkey_test</t>
  </si>
  <si>
    <t xml:space="preserve">Monkey test çalıştır</t>
  </si>
  <si>
    <t xml:space="preserve">/api/qa/reports</t>
  </si>
  <si>
    <t xml:space="preserve">list_reports</t>
  </si>
  <si>
    <t xml:space="preserve">Rapor listesi</t>
  </si>
  <si>
    <t xml:space="preserve">/api/qa/reports/{report_id}</t>
  </si>
  <si>
    <t xml:space="preserve">get_report</t>
  </si>
  <si>
    <t xml:space="preserve">Rapor detayı</t>
  </si>
  <si>
    <t xml:space="preserve">/api/qa/project</t>
  </si>
  <si>
    <t xml:space="preserve">create_new_project</t>
  </si>
  <si>
    <t xml:space="preserve">Yeni proje oluştur</t>
  </si>
  <si>
    <t xml:space="preserve">/api/qa/environments</t>
  </si>
  <si>
    <t xml:space="preserve">list_environments</t>
  </si>
  <si>
    <t xml:space="preserve">Ortam listesi</t>
  </si>
  <si>
    <t xml:space="preserve">add_environment</t>
  </si>
  <si>
    <t xml:space="preserve">Ortam ekle</t>
  </si>
  <si>
    <t xml:space="preserve">/api/qa/environments/{name}</t>
  </si>
  <si>
    <t xml:space="preserve">delete_environment</t>
  </si>
  <si>
    <t xml:space="preserve">Ortam sil</t>
  </si>
  <si>
    <t xml:space="preserve">/api/qa/performance</t>
  </si>
  <si>
    <t xml:space="preserve">analyze_performance</t>
  </si>
  <si>
    <t xml:space="preserve">Performans analizi</t>
  </si>
  <si>
    <t xml:space="preserve">/api/qa/full-pipeline</t>
  </si>
  <si>
    <t xml:space="preserve">run_full_pipeline</t>
  </si>
  <si>
    <t xml:space="preserve">Tam pipeline çalıştır</t>
  </si>
  <si>
    <t xml:space="preserve">/api/qa/cicd-template</t>
  </si>
  <si>
    <t xml:space="preserve">get_cicd_template</t>
  </si>
  <si>
    <t xml:space="preserve">CI/CD şablonu</t>
  </si>
  <si>
    <t xml:space="preserve">/api/qa/health</t>
  </si>
  <si>
    <t xml:space="preserve">QA sağlık kontrolü</t>
  </si>
  <si>
    <t xml:space="preserve">/api/learning/feedback</t>
  </si>
  <si>
    <t xml:space="preserve">submit_feedback</t>
  </si>
  <si>
    <t xml:space="preserve">Geri bildirim gönder</t>
  </si>
  <si>
    <t xml:space="preserve">list_feedbacks</t>
  </si>
  <si>
    <t xml:space="preserve">Geri bildirim listesi</t>
  </si>
  <si>
    <t xml:space="preserve">/api/learning/insights</t>
  </si>
  <si>
    <t xml:space="preserve">get_insights</t>
  </si>
  <si>
    <t xml:space="preserve">Öğrenme içgörüleri</t>
  </si>
  <si>
    <t xml:space="preserve">/api/learning/recommendations</t>
  </si>
  <si>
    <t xml:space="preserve">get_recommendations</t>
  </si>
  <si>
    <t xml:space="preserve">Öneriler</t>
  </si>
  <si>
    <t xml:space="preserve">/api/learning/optimize</t>
  </si>
  <si>
    <t xml:space="preserve">trigger_optimization</t>
  </si>
  <si>
    <t xml:space="preserve">Optimizasyon tetikle</t>
  </si>
  <si>
    <t xml:space="preserve">/api/learning/metrics</t>
  </si>
  <si>
    <t xml:space="preserve">get_metrics</t>
  </si>
  <si>
    <t xml:space="preserve">Metrikler</t>
  </si>
  <si>
    <t xml:space="preserve">/api/learning/patterns</t>
  </si>
  <si>
    <t xml:space="preserve">list_patterns</t>
  </si>
  <si>
    <t xml:space="preserve">Örüntü listesi</t>
  </si>
  <si>
    <t xml:space="preserve">/api/learning/patterns/{id}</t>
  </si>
  <si>
    <t xml:space="preserve">get_pattern_detail</t>
  </si>
  <si>
    <t xml:space="preserve">Örüntü detayı</t>
  </si>
  <si>
    <t xml:space="preserve">/api/learning/reset</t>
  </si>
  <si>
    <t xml:space="preserve">reset_learning</t>
  </si>
  <si>
    <t xml:space="preserve">Öğrenmeyi sıfırla</t>
  </si>
  <si>
    <t xml:space="preserve">/api/learning/sync</t>
  </si>
  <si>
    <t xml:space="preserve">sync_knowledge</t>
  </si>
  <si>
    <t xml:space="preserve">Bilgi senkronizasyonu</t>
  </si>
  <si>
    <t xml:space="preserve">/api/learning/scenario-params</t>
  </si>
  <si>
    <t xml:space="preserve">get_scenario_parameters</t>
  </si>
  <si>
    <t xml:space="preserve">Senaryo parametreleri</t>
  </si>
  <si>
    <t xml:space="preserve">/api/learning/metrics/record</t>
  </si>
  <si>
    <t xml:space="preserve">record_metrics</t>
  </si>
  <si>
    <t xml:space="preserve">Metrik kaydet</t>
  </si>
  <si>
    <t xml:space="preserve">/api/platform/health</t>
  </si>
  <si>
    <t xml:space="preserve">platform_health</t>
  </si>
  <si>
    <t xml:space="preserve">Platform sağlık durumu</t>
  </si>
  <si>
    <t xml:space="preserve">/api/platform/stats</t>
  </si>
  <si>
    <t xml:space="preserve">platform_stats</t>
  </si>
  <si>
    <t xml:space="preserve">Platform istatistikleri</t>
  </si>
  <si>
    <t xml:space="preserve">/api/platform/config</t>
  </si>
  <si>
    <t xml:space="preserve">platform_config</t>
  </si>
  <si>
    <t xml:space="preserve">Platform yapılandırması</t>
  </si>
  <si>
    <t xml:space="preserve">/api/platform/services</t>
  </si>
  <si>
    <t xml:space="preserve">list_services</t>
  </si>
  <si>
    <t xml:space="preserve">Servis listesi</t>
  </si>
  <si>
    <t xml:space="preserve">/api/platform/webhook-events</t>
  </si>
  <si>
    <t xml:space="preserve">list_webhook_events</t>
  </si>
  <si>
    <t xml:space="preserve">Webhook event türleri</t>
  </si>
  <si>
    <t xml:space="preserve">/api/platform/export-formats</t>
  </si>
  <si>
    <t xml:space="preserve">list_export_formats</t>
  </si>
  <si>
    <t xml:space="preserve">Dışa aktarım formatları</t>
  </si>
  <si>
    <t xml:space="preserve">/api/platform/quality-dims</t>
  </si>
  <si>
    <t xml:space="preserve">list_quality_dimensions</t>
  </si>
  <si>
    <t xml:space="preserve">Kalite boyutları</t>
  </si>
  <si>
    <t xml:space="preserve">/api/audit/logs</t>
  </si>
  <si>
    <t xml:space="preserve">list_audit_logs</t>
  </si>
  <si>
    <t xml:space="preserve">Denetim günlüğü listesi</t>
  </si>
  <si>
    <t xml:space="preserve">/api/audit/summary</t>
  </si>
  <si>
    <t xml:space="preserve">audit_summary</t>
  </si>
  <si>
    <t xml:space="preserve">Denetim özeti</t>
  </si>
  <si>
    <t xml:space="preserve">/api/audit/export</t>
  </si>
  <si>
    <t xml:space="preserve">export_audit_logs</t>
  </si>
  <si>
    <t xml:space="preserve">Denetim günlüğü dışa aktar</t>
  </si>
  <si>
    <t xml:space="preserve">/api/versions</t>
  </si>
  <si>
    <t xml:space="preserve">list_versions</t>
  </si>
  <si>
    <t xml:space="preserve">Versiyon listesi</t>
  </si>
  <si>
    <t xml:space="preserve">/api/versions/compare</t>
  </si>
  <si>
    <t xml:space="preserve">compare_versions</t>
  </si>
  <si>
    <t xml:space="preserve">Versiyon karşılaştırma</t>
  </si>
  <si>
    <t xml:space="preserve">/api/versions/{id}/restore</t>
  </si>
  <si>
    <t xml:space="preserve">restore_version</t>
  </si>
  <si>
    <t xml:space="preserve">Versiyon geri yükleme</t>
  </si>
  <si>
    <t xml:space="preserve">/api/versions/{id}</t>
  </si>
  <si>
    <t xml:space="preserve">delete_version</t>
  </si>
  <si>
    <t xml:space="preserve">Versiyon silme</t>
  </si>
  <si>
    <t xml:space="preserve">/api/templates</t>
  </si>
  <si>
    <t xml:space="preserve">create_template</t>
  </si>
  <si>
    <t xml:space="preserve">Şablon oluştur</t>
  </si>
  <si>
    <t xml:space="preserve">list_templates</t>
  </si>
  <si>
    <t xml:space="preserve">Şablon listesi</t>
  </si>
  <si>
    <t xml:space="preserve">/api/templates/{id}</t>
  </si>
  <si>
    <t xml:space="preserve">PUT</t>
  </si>
  <si>
    <t xml:space="preserve">update_template</t>
  </si>
  <si>
    <t xml:space="preserve">Şablon güncelle</t>
  </si>
  <si>
    <t xml:space="preserve">delete_template</t>
  </si>
  <si>
    <t xml:space="preserve">Şablon sil</t>
  </si>
  <si>
    <t xml:space="preserve">/api/templates/{id}/export</t>
  </si>
  <si>
    <t xml:space="preserve">export_with_template</t>
  </si>
  <si>
    <t xml:space="preserve">Şablonla dışa aktar</t>
  </si>
  <si>
    <t xml:space="preserve">/api/quality/report</t>
  </si>
  <si>
    <t xml:space="preserve">get_quality_report</t>
  </si>
  <si>
    <t xml:space="preserve">Kalite raporu</t>
  </si>
  <si>
    <t xml:space="preserve">/api/quality/history</t>
  </si>
  <si>
    <t xml:space="preserve">get_quality_history</t>
  </si>
  <si>
    <t xml:space="preserve">Kalite geçmişi</t>
  </si>
  <si>
    <t xml:space="preserve">/api/quality/summary</t>
  </si>
  <si>
    <t xml:space="preserve">get_quality_summary</t>
  </si>
  <si>
    <t xml:space="preserve">Kalite özeti</t>
  </si>
  <si>
    <t xml:space="preserve">/api/webhooks</t>
  </si>
  <si>
    <t xml:space="preserve">create_webhook</t>
  </si>
  <si>
    <t xml:space="preserve">Webhook oluştur</t>
  </si>
  <si>
    <t xml:space="preserve">list_webhooks</t>
  </si>
  <si>
    <t xml:space="preserve">Webhook listesi</t>
  </si>
  <si>
    <t xml:space="preserve">/api/webhooks/{id}</t>
  </si>
  <si>
    <t xml:space="preserve">delete_webhook</t>
  </si>
  <si>
    <t xml:space="preserve">Webhook sil</t>
  </si>
  <si>
    <t xml:space="preserve">/api/webhooks/{id}/test</t>
  </si>
  <si>
    <t xml:space="preserve">test_webhook</t>
  </si>
  <si>
    <t xml:space="preserve">Webhook test et</t>
  </si>
  <si>
    <t xml:space="preserve">Paket Adı</t>
  </si>
  <si>
    <t xml:space="preserve">Versiyon (min)</t>
  </si>
  <si>
    <t xml:space="preserve">requirements.txt</t>
  </si>
  <si>
    <t xml:space="preserve">Kullanan Modüller</t>
  </si>
  <si>
    <t xml:space="preserve">Gerçekte Kullanılıyor</t>
  </si>
  <si>
    <t xml:space="preserve">fastapi</t>
  </si>
  <si>
    <t xml:space="preserve">&gt;=0.110.0</t>
  </si>
  <si>
    <t xml:space="preserve">✅ Var</t>
  </si>
  <si>
    <t xml:space="preserve">main, routes, qa_routes, learning_routes, enhancement_routes, audit_logger, data_versioning, export_templates, quality_dashboard, webhook_service</t>
  </si>
  <si>
    <t xml:space="preserve">✅ Evet</t>
  </si>
  <si>
    <t xml:space="preserve">uvicorn</t>
  </si>
  <si>
    <t xml:space="preserve">&gt;=0.29.0</t>
  </si>
  <si>
    <t xml:space="preserve">main.py (run sunucu)</t>
  </si>
  <si>
    <t xml:space="preserve">sqlalchemy</t>
  </si>
  <si>
    <t xml:space="preserve">&gt;=2.0.0</t>
  </si>
  <si>
    <t xml:space="preserve">database, dataset, learning_models, audit_logger, data_versioning, export_templates, quality_dashboard, webhook_service, routes</t>
  </si>
  <si>
    <t xml:space="preserve">asyncpg</t>
  </si>
  <si>
    <t xml:space="preserve">PostgreSQL async driver</t>
  </si>
  <si>
    <t xml:space="preserve">⚠️ Dolaylı</t>
  </si>
  <si>
    <t xml:space="preserve">⚠️ Kısmi</t>
  </si>
  <si>
    <t xml:space="preserve">psycopg2-binary</t>
  </si>
  <si>
    <t xml:space="preserve">&gt;=2.9.0</t>
  </si>
  <si>
    <t xml:space="preserve">PostgreSQL sync driver</t>
  </si>
  <si>
    <t xml:space="preserve">alembic</t>
  </si>
  <si>
    <t xml:space="preserve">&gt;=1.13.0</t>
  </si>
  <si>
    <t xml:space="preserve">Veritabanı migration'ları</t>
  </si>
  <si>
    <t xml:space="preserve">❌ Hayır</t>
  </si>
  <si>
    <t xml:space="preserve">⚠️ Tanımlı ama kullanılmıyor</t>
  </si>
  <si>
    <t xml:space="preserve">pandas</t>
  </si>
  <si>
    <t xml:space="preserve">&gt;=2.2.0</t>
  </si>
  <si>
    <t xml:space="preserve">routes, schema_analyzer, scenario_generator, synthetic_generator, conftest, test_api, test_performance</t>
  </si>
  <si>
    <t xml:space="preserve">numpy</t>
  </si>
  <si>
    <t xml:space="preserve">&gt;=1.26.0</t>
  </si>
  <si>
    <t xml:space="preserve">scenario_generator, schema_analyzer, synthetic_generator, conftest, test_integration, test_performance</t>
  </si>
  <si>
    <t xml:space="preserve">openpyxl</t>
  </si>
  <si>
    <t xml:space="preserve">&gt;=3.1.0</t>
  </si>
  <si>
    <t xml:space="preserve">Excel okuma/yazma (pandas bağımlılığı)</t>
  </si>
  <si>
    <t xml:space="preserve">faker</t>
  </si>
  <si>
    <t xml:space="preserve">&gt;=24.0.0</t>
  </si>
  <si>
    <t xml:space="preserve">synthetic_generator, project_scaffolder</t>
  </si>
  <si>
    <t xml:space="preserve">pydantic</t>
  </si>
  <si>
    <t xml:space="preserve">&gt;=2.6.0</t>
  </si>
  <si>
    <t xml:space="preserve">Tüm şemalar, config, servis modelleri</t>
  </si>
  <si>
    <t xml:space="preserve">pydantic-settings</t>
  </si>
  <si>
    <t xml:space="preserve">config.py</t>
  </si>
  <si>
    <t xml:space="preserve">python-multipart</t>
  </si>
  <si>
    <t xml:space="preserve">&gt;=0.0.9</t>
  </si>
  <si>
    <t xml:space="preserve">FastAPI dosya yükleme</t>
  </si>
  <si>
    <t xml:space="preserve">pyyaml</t>
  </si>
  <si>
    <t xml:space="preserve">&gt;=6.0.0</t>
  </si>
  <si>
    <t xml:space="preserve">rule_engine.py</t>
  </si>
  <si>
    <t xml:space="preserve">python-dotenv</t>
  </si>
  <si>
    <t xml:space="preserve">&gt;=1.0.0</t>
  </si>
  <si>
    <t xml:space="preserve">project_scaffolder.py</t>
  </si>
  <si>
    <t xml:space="preserve">httpx</t>
  </si>
  <si>
    <t xml:space="preserve">&gt;=0.27.0</t>
  </si>
  <si>
    <t xml:space="preserve">webhook_service.py</t>
  </si>
  <si>
    <t xml:space="preserve">loguru</t>
  </si>
  <si>
    <t xml:space="preserve">&gt;=0.7.0</t>
  </si>
  <si>
    <t xml:space="preserve">Gelişmiş loglama</t>
  </si>
  <si>
    <t xml:space="preserve">⚠️ Tanımlı ama import edilmiyor</t>
  </si>
  <si>
    <t xml:space="preserve">playwright</t>
  </si>
  <si>
    <t xml:space="preserve">N/A</t>
  </si>
  <si>
    <t xml:space="preserve">❌ Yok</t>
  </si>
  <si>
    <t xml:space="preserve">project_scaffolder, qa_engine</t>
  </si>
  <si>
    <t xml:space="preserve">✅ Evet (runtime)</t>
  </si>
  <si>
    <t xml:space="preserve">❌ requirements.txt'te eksik</t>
  </si>
  <si>
    <t xml:space="preserve">openai</t>
  </si>
  <si>
    <t xml:space="preserve">llm_service.py (opsiyonel)</t>
  </si>
  <si>
    <t xml:space="preserve">⚠️ Opsiyonel</t>
  </si>
  <si>
    <t xml:space="preserve">⚠️ Opsiyonel bağımlılık</t>
  </si>
  <si>
    <t xml:space="preserve">anthropic</t>
  </si>
  <si>
    <t xml:space="preserve">pytest</t>
  </si>
  <si>
    <t xml:space="preserve">Tüm test dosyaları, project_scaffolder, qa_engine</t>
  </si>
  <si>
    <t xml:space="preserve">starlette</t>
  </si>
  <si>
    <t xml:space="preserve">❌ Yok (FastAPI ile gelir)</t>
  </si>
  <si>
    <t xml:space="preserve">middleware/*.py</t>
  </si>
  <si>
    <t xml:space="preserve">✅ OK (transitif)</t>
  </si>
  <si>
    <t xml:space="preserve">Modül</t>
  </si>
  <si>
    <t xml:space="preserve">Test Dosyası</t>
  </si>
  <si>
    <t xml:space="preserve">Test Sayısı</t>
  </si>
  <si>
    <t xml:space="preserve">Kapsam Durumu</t>
  </si>
  <si>
    <t xml:space="preserve">21 endpoint için 17 test — bazı endpoint'ler kapsanmamış</t>
  </si>
  <si>
    <t xml:space="preserve">1025 satırlık modül için 9 test yeterli değil</t>
  </si>
  <si>
    <t xml:space="preserve">1014 satırlık modül için 7 test az</t>
  </si>
  <si>
    <t xml:space="preserve">✅ Yeterli</t>
  </si>
  <si>
    <t xml:space="preserve">Temel fonksiyonlar kapsanmış</t>
  </si>
  <si>
    <t xml:space="preserve">1586 satırlık modül için 7 test yetersiz</t>
  </si>
  <si>
    <t xml:space="preserve">1358 satırlık modül için 10 test sınırlı</t>
  </si>
  <si>
    <t xml:space="preserve">2005 satırlık en büyük modül — daha fazla test gerekli</t>
  </si>
  <si>
    <t xml:space="preserve">✅ İyi</t>
  </si>
  <si>
    <t xml:space="preserve">Kapsamlı test coverage — mock ve fallback dahil</t>
  </si>
  <si>
    <t xml:space="preserve">9 adımlık pipeline kapsamlı test edilmiş</t>
  </si>
  <si>
    <t xml:space="preserve">app/middleware, audit, webhook vb.</t>
  </si>
  <si>
    <t xml:space="preserve">Rate limit, audit, versioning, quality, webhook, export testleri</t>
  </si>
  <si>
    <t xml:space="preserve">Çapraz modül entegrasyonu</t>
  </si>
  <si>
    <t xml:space="preserve">Pipeline, PII, senaryo, ilişki, çapraz modül testleri</t>
  </si>
  <si>
    <t xml:space="preserve">10K/50K/100K satır, bellek, eşzamanlılık, büyük dosya testleri</t>
  </si>
  <si>
    <t xml:space="preserve">—</t>
  </si>
  <si>
    <t xml:space="preserve">1486 satırlık modül için test dosyası yok</t>
  </si>
  <si>
    <t xml:space="preserve">1630 satırlık modül için ayrı test yok (integration'da kısmi)</t>
  </si>
  <si>
    <t xml:space="preserve">1661 satırlık modül için ayrı test yok</t>
  </si>
  <si>
    <t xml:space="preserve">test_enhancements'ta kısmi kapsam var</t>
  </si>
  <si>
    <t xml:space="preserve">1953 satırlık modül için test yok — playwright bağımlı</t>
  </si>
  <si>
    <t xml:space="preserve">546 satırlık yardımcı modül için test yok</t>
  </si>
  <si>
    <t xml:space="preserve">Yapılandırma testleri eksik</t>
  </si>
  <si>
    <t xml:space="preserve">750 satırlık route dosyası için ayrı test yok</t>
  </si>
  <si>
    <t xml:space="preserve">465 satırlık route dosyası için ayrı test yok</t>
  </si>
  <si>
    <t xml:space="preserve">Kategori</t>
  </si>
  <si>
    <t xml:space="preserve">Önem</t>
  </si>
  <si>
    <t xml:space="preserve">Öneri</t>
  </si>
  <si>
    <t xml:space="preserve">Bağımlılık</t>
  </si>
  <si>
    <t xml:space="preserve">playwright paketi requirements.txt'te tanımlı değil</t>
  </si>
  <si>
    <t xml:space="preserve">Kritik</t>
  </si>
  <si>
    <t xml:space="preserve">requirements.txt'e playwright&gt;=1.40.0 ekle</t>
  </si>
  <si>
    <t xml:space="preserve">❌ Açık</t>
  </si>
  <si>
    <t xml:space="preserve">pytest paketi requirements.txt'te tanımlı değil</t>
  </si>
  <si>
    <t xml:space="preserve">Yüksek</t>
  </si>
  <si>
    <t xml:space="preserve">requirements-dev.txt oluştur, pytest&gt;=8.0 ekle</t>
  </si>
  <si>
    <t xml:space="preserve">alembic tanımlı ama hiçbir yerde kullanılmıyor</t>
  </si>
  <si>
    <t xml:space="preserve">Düşük</t>
  </si>
  <si>
    <t xml:space="preserve">Migration sistemi kurulacaksa kullan, yoksa kaldır</t>
  </si>
  <si>
    <t xml:space="preserve">⚠️ İzleniyor</t>
  </si>
  <si>
    <t xml:space="preserve">loguru tanımlı ama hiçbir modülde import edilmiyor</t>
  </si>
  <si>
    <t xml:space="preserve">Kullanılmıyorsa requirements.txt'ten kaldır</t>
  </si>
  <si>
    <t xml:space="preserve">openai ve anthropic opsiyonel bağımlılıklar — requirements.txt'te yok</t>
  </si>
  <si>
    <t xml:space="preserve">Orta</t>
  </si>
  <si>
    <t xml:space="preserve">extras_require veya requirements-optional.txt ile belirt</t>
  </si>
  <si>
    <t xml:space="preserve">Import</t>
  </si>
  <si>
    <t xml:space="preserve">project_scaffolder.py — pages.base_page, pages.home_page, pages.login_page bulunamıyor</t>
  </si>
  <si>
    <t xml:space="preserve">pages/ klasörü oluştur veya import'ları düzelt</t>
  </si>
  <si>
    <t xml:space="preserve">project_scaffolder.py — utils.test_data bulunamıyor</t>
  </si>
  <si>
    <t xml:space="preserve">utils/test_data.py oluştur veya import'u düzelt</t>
  </si>
  <si>
    <t xml:space="preserve">qa_engine.py — pages.base_page bulunamıyor</t>
  </si>
  <si>
    <t xml:space="preserve">project_scaffolder ile aynı eksik modül sorunu</t>
  </si>
  <si>
    <t xml:space="preserve">test_llm_service.py — 'from app.config.settings import' — settings modül değil obje</t>
  </si>
  <si>
    <t xml:space="preserve">'from app.config import settings' olmalı</t>
  </si>
  <si>
    <t xml:space="preserve">Test</t>
  </si>
  <si>
    <t xml:space="preserve">self_learning.py (1486 satır) için hiç test yok</t>
  </si>
  <si>
    <t xml:space="preserve">test_self_learning.py oluştur</t>
  </si>
  <si>
    <t xml:space="preserve">relationship_inference.py (1630 satır) için ayrı test yok</t>
  </si>
  <si>
    <t xml:space="preserve">test_relationship_inference.py oluştur</t>
  </si>
  <si>
    <t xml:space="preserve">monkey_tester.py (1661 satır) için ayrı test yok</t>
  </si>
  <si>
    <t xml:space="preserve">test_monkey_tester.py oluştur</t>
  </si>
  <si>
    <t xml:space="preserve">project_scaffolder.py (1953 satır) için test yok</t>
  </si>
  <si>
    <t xml:space="preserve">test_project_scaffolder.py oluştur</t>
  </si>
  <si>
    <t xml:space="preserve">helpers.py (546 satır) için test yok</t>
  </si>
  <si>
    <t xml:space="preserve">test_helpers.py oluştur</t>
  </si>
  <si>
    <t xml:space="preserve">config.py için test yok</t>
  </si>
  <si>
    <t xml:space="preserve">test_config.py oluştur</t>
  </si>
  <si>
    <t xml:space="preserve">learning_routes.py (750 satır) için ayrı test yok</t>
  </si>
  <si>
    <t xml:space="preserve">test_learning_routes.py oluştur</t>
  </si>
  <si>
    <t xml:space="preserve">enhancement_routes.py (465 satır) için ayrı test yok</t>
  </si>
  <si>
    <t xml:space="preserve">test_enhancement_routes.py oluştur</t>
  </si>
  <si>
    <t xml:space="preserve">Mimari</t>
  </si>
  <si>
    <t xml:space="preserve">Docker-compose var ama Dockerfile yok</t>
  </si>
  <si>
    <t xml:space="preserve">Dockerfile oluştur (multi-stage build önerilir)</t>
  </si>
  <si>
    <t xml:space="preserve">Veritabanı migration sistemi (alembic) kurulmamış</t>
  </si>
  <si>
    <t xml:space="preserve">alembic init ile migration yapısını kur</t>
  </si>
  <si>
    <t xml:space="preserve">Frontend tek bir index.html — ayrı JS/CSS yok</t>
  </si>
  <si>
    <t xml:space="preserve">Frontend geliştikçe modüler yapıya geç</t>
  </si>
  <si>
    <t xml:space="preserve">Güvenlik</t>
  </si>
  <si>
    <t xml:space="preserve">.env dosyası yok — API key'ler nasıl yönetiliyor kontrol et</t>
  </si>
  <si>
    <t xml:space="preserve">.env.example oluştur, .gitignore'a .env ekle</t>
  </si>
  <si>
    <t xml:space="preserve">Rate limiter in-memory — restart'ta sıfırlanır</t>
  </si>
  <si>
    <t xml:space="preserve">Redis tabanlı rate limiting düşün</t>
  </si>
  <si>
    <t xml:space="preserve">Dokümantasyon</t>
  </si>
  <si>
    <t xml:space="preserve">API endpoint'leri için Swagger açıklamaları eksik olabilir</t>
  </si>
  <si>
    <t xml:space="preserve">FastAPI response_model ve description parametreleri ekle</t>
  </si>
  <si>
    <t xml:space="preserve">Kod Kalitesi</t>
  </si>
  <si>
    <t xml:space="preserve">Bazı servis dosyaları çok büyük (synthetic_generator: 2005 satır)</t>
  </si>
  <si>
    <t xml:space="preserve">Büyük dosyaları alt modüllere böl</t>
  </si>
  <si>
    <t xml:space="preserve">project_scaffolder.py dosyası hem scaffolding hem test generation yapıyor</t>
  </si>
  <si>
    <t xml:space="preserve">Tek sorumluluk ilkesine göre ayır</t>
  </si>
  <si>
    <t xml:space="preserve">Metrik</t>
  </si>
  <si>
    <t xml:space="preserve">Değer</t>
  </si>
  <si>
    <t xml:space="preserve">Detay</t>
  </si>
  <si>
    <t xml:space="preserve">Rapor Tarihi</t>
  </si>
  <si>
    <t xml:space="preserve">2026-03-29</t>
  </si>
  <si>
    <t xml:space="preserve">Otomatik denetim raporu</t>
  </si>
  <si>
    <t xml:space="preserve">Proje Adı</t>
  </si>
  <si>
    <t xml:space="preserve">SyntheticBankData</t>
  </si>
  <si>
    <t xml:space="preserve">Sentetik Banka Verisi Üretim Platformu</t>
  </si>
  <si>
    <t xml:space="preserve">--- DOSYA İSTATİSTİKLERİ ---</t>
  </si>
  <si>
    <t xml:space="preserve">Toplam Python Dosyası</t>
  </si>
  <si>
    <t xml:space="preserve">app/ + tests/ altındaki tüm .py dosyaları</t>
  </si>
  <si>
    <t xml:space="preserve">Uygulama Modülleri</t>
  </si>
  <si>
    <t xml:space="preserve">app/ altındaki .py dosyaları</t>
  </si>
  <si>
    <t xml:space="preserve">Test Dosyaları</t>
  </si>
  <si>
    <t xml:space="preserve">tests/ altındaki .py dosyaları (conftest dahil)</t>
  </si>
  <si>
    <t xml:space="preserve">Diğer Dosyalar</t>
  </si>
  <si>
    <t xml:space="preserve">CSV (3), JSON (3), YML (1), MD (4)</t>
  </si>
  <si>
    <t xml:space="preserve">Toplam Dosya Sayısı</t>
  </si>
  <si>
    <t xml:space="preserve">Tüm proje dosyaları</t>
  </si>
  <si>
    <t xml:space="preserve">--- KOD İSTATİSTİKLERİ ---</t>
  </si>
  <si>
    <t xml:space="preserve">Toplam Python Satır Sayısı</t>
  </si>
  <si>
    <t xml:space="preserve">Formül ile hesaplanır</t>
  </si>
  <si>
    <t xml:space="preserve">Uygulama Kodu Satırları</t>
  </si>
  <si>
    <t xml:space="preserve">app/ altındaki toplam satır</t>
  </si>
  <si>
    <t xml:space="preserve">Test Kodu Satırları</t>
  </si>
  <si>
    <t xml:space="preserve">tests/ altındaki toplam satır</t>
  </si>
  <si>
    <t xml:space="preserve">Test/Kod Oranı</t>
  </si>
  <si>
    <t xml:space="preserve">Ortalama Modül Boyutu (satır)</t>
  </si>
  <si>
    <t xml:space="preserve">En Büyük Modül</t>
  </si>
  <si>
    <t xml:space="preserve">synthetic_generator.py</t>
  </si>
  <si>
    <t xml:space="preserve">2005 satır</t>
  </si>
  <si>
    <t xml:space="preserve">En Küçük Modül</t>
  </si>
  <si>
    <t xml:space="preserve">1 satır</t>
  </si>
  <si>
    <t xml:space="preserve">--- API İSTATİSTİKLERİ ---</t>
  </si>
  <si>
    <t xml:space="preserve">Toplam API Endpoint</t>
  </si>
  <si>
    <t xml:space="preserve">GET Endpoint'leri</t>
  </si>
  <si>
    <t xml:space="preserve">POST Endpoint'leri</t>
  </si>
  <si>
    <t xml:space="preserve">PUT Endpoint'leri</t>
  </si>
  <si>
    <t xml:space="preserve">DELETE Endpoint'leri</t>
  </si>
  <si>
    <t xml:space="preserve">Route Dosyası Sayısı</t>
  </si>
  <si>
    <t xml:space="preserve">4 ana route + 5 servis router</t>
  </si>
  <si>
    <t xml:space="preserve">--- TEST İSTATİSTİKLERİ ---</t>
  </si>
  <si>
    <t xml:space="preserve">Toplam Test Fonksiyonu</t>
  </si>
  <si>
    <t xml:space="preserve">Test Dosyası Sayısı</t>
  </si>
  <si>
    <t xml:space="preserve">conftest hariç</t>
  </si>
  <si>
    <t xml:space="preserve">Kapsanmayan Büyük Modüller</t>
  </si>
  <si>
    <t xml:space="preserve">self_learning, relationship_inference, monkey_tester, project_scaffolder, helpers</t>
  </si>
  <si>
    <t xml:space="preserve">--- BAĞIMLILIK İSTATİSTİKLERİ ---</t>
  </si>
  <si>
    <t xml:space="preserve">requirements.txt Paket Sayısı</t>
  </si>
  <si>
    <t xml:space="preserve">Doğrudan bağımlılıklar</t>
  </si>
  <si>
    <t xml:space="preserve">Eksik Bağımlılıklar</t>
  </si>
  <si>
    <t xml:space="preserve">playwright, pytest</t>
  </si>
  <si>
    <t xml:space="preserve">Kullanılmayan Bağımlılıklar</t>
  </si>
  <si>
    <t xml:space="preserve">alembic, loguru</t>
  </si>
  <si>
    <t xml:space="preserve">Opsiyonel Bağımlılıklar</t>
  </si>
  <si>
    <t xml:space="preserve">openai, anthropic</t>
  </si>
  <si>
    <t xml:space="preserve">--- SORUN İSTATİSTİKLERİ ---</t>
  </si>
  <si>
    <t xml:space="preserve">Toplam Tespit Edilen Sorun</t>
  </si>
  <si>
    <t xml:space="preserve">Kritik Sorunlar</t>
  </si>
  <si>
    <t xml:space="preserve">Yüksek Öncelikli Sorunlar</t>
  </si>
  <si>
    <t xml:space="preserve">Orta Öncelikli Sorunlar</t>
  </si>
  <si>
    <t xml:space="preserve">Düşük Öncelikli Sorunlar</t>
  </si>
  <si>
    <t xml:space="preserve">Syntax Hatası</t>
  </si>
  <si>
    <t xml:space="preserve">Tüm dosyalar syntax kontrolünden geçti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</si>
</sst>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65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BF6000"/>
      <name val="Arial"/>
      <family val="0"/>
      <charset val="1"/>
    </font>
    <font>
      <b val="true"/>
      <sz val="10"/>
      <color rgb="FF1E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0F4F8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0F4F8"/>
      </patternFill>
    </fill>
    <fill>
      <patternFill patternType="solid">
        <fgColor rgb="FFFFEB9C"/>
        <bgColor rgb="FFFFD9B3"/>
      </patternFill>
    </fill>
    <fill>
      <patternFill patternType="solid">
        <fgColor rgb="FFFFC7CE"/>
        <bgColor rgb="FFFFD9B3"/>
      </patternFill>
    </fill>
    <fill>
      <patternFill patternType="solid">
        <fgColor rgb="FFFFD9B3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FFC7CE"/>
      <rgbColor rgb="FF808080"/>
      <rgbColor rgb="FF9999FF"/>
      <rgbColor rgb="FF993366"/>
      <rgbColor rgb="FFF0F4F8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BF60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5" min="3" style="0" width="14"/>
    <col collapsed="false" customWidth="true" hidden="false" outlineLevel="0" max="7" min="6" style="0" width="18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1</v>
      </c>
      <c r="D2" s="2" t="n">
        <v>0</v>
      </c>
      <c r="E2" s="3" t="s">
        <v>10</v>
      </c>
      <c r="F2" s="3" t="s">
        <v>10</v>
      </c>
      <c r="G2" s="3" t="s">
        <v>11</v>
      </c>
      <c r="H2" s="2" t="s">
        <v>12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n">
        <v>14</v>
      </c>
      <c r="D3" s="4" t="n">
        <v>0.3</v>
      </c>
      <c r="E3" s="3" t="s">
        <v>10</v>
      </c>
      <c r="F3" s="3" t="s">
        <v>10</v>
      </c>
      <c r="G3" s="3" t="s">
        <v>11</v>
      </c>
      <c r="H3" s="4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n">
        <v>465</v>
      </c>
      <c r="D4" s="2" t="n">
        <v>17.2</v>
      </c>
      <c r="E4" s="3" t="s">
        <v>10</v>
      </c>
      <c r="F4" s="3" t="s">
        <v>10</v>
      </c>
      <c r="G4" s="3" t="s">
        <v>11</v>
      </c>
      <c r="H4" s="2" t="s">
        <v>18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n">
        <v>750</v>
      </c>
      <c r="D5" s="4" t="n">
        <v>23.6</v>
      </c>
      <c r="E5" s="3" t="s">
        <v>10</v>
      </c>
      <c r="F5" s="3" t="s">
        <v>10</v>
      </c>
      <c r="G5" s="3" t="s">
        <v>11</v>
      </c>
      <c r="H5" s="4" t="s">
        <v>21</v>
      </c>
    </row>
    <row r="6" customFormat="false" ht="23.85" hidden="false" customHeight="false" outlineLevel="0" collapsed="false">
      <c r="A6" s="2" t="s">
        <v>22</v>
      </c>
      <c r="B6" s="2" t="s">
        <v>23</v>
      </c>
      <c r="C6" s="2" t="n">
        <v>821</v>
      </c>
      <c r="D6" s="2" t="n">
        <v>25.4</v>
      </c>
      <c r="E6" s="3" t="s">
        <v>10</v>
      </c>
      <c r="F6" s="5" t="s">
        <v>24</v>
      </c>
      <c r="G6" s="5" t="s">
        <v>25</v>
      </c>
      <c r="H6" s="2" t="s">
        <v>26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n">
        <v>1676</v>
      </c>
      <c r="D7" s="4" t="n">
        <v>57</v>
      </c>
      <c r="E7" s="3" t="s">
        <v>10</v>
      </c>
      <c r="F7" s="3" t="s">
        <v>10</v>
      </c>
      <c r="G7" s="3" t="s">
        <v>11</v>
      </c>
      <c r="H7" s="4" t="s">
        <v>29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n">
        <v>104</v>
      </c>
      <c r="D8" s="2" t="n">
        <v>4.2</v>
      </c>
      <c r="E8" s="3" t="s">
        <v>10</v>
      </c>
      <c r="F8" s="3" t="s">
        <v>10</v>
      </c>
      <c r="G8" s="3" t="s">
        <v>11</v>
      </c>
      <c r="H8" s="2" t="s">
        <v>32</v>
      </c>
    </row>
    <row r="9" customFormat="false" ht="15" hidden="false" customHeight="false" outlineLevel="0" collapsed="false">
      <c r="A9" s="4" t="s">
        <v>33</v>
      </c>
      <c r="B9" s="4" t="s">
        <v>34</v>
      </c>
      <c r="C9" s="4" t="n">
        <v>297</v>
      </c>
      <c r="D9" s="4" t="n">
        <v>12.4</v>
      </c>
      <c r="E9" s="3" t="s">
        <v>10</v>
      </c>
      <c r="F9" s="3" t="s">
        <v>10</v>
      </c>
      <c r="G9" s="3" t="s">
        <v>11</v>
      </c>
      <c r="H9" s="4" t="s">
        <v>35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n">
        <v>13</v>
      </c>
      <c r="D10" s="2" t="n">
        <v>0.3</v>
      </c>
      <c r="E10" s="3" t="s">
        <v>10</v>
      </c>
      <c r="F10" s="3" t="s">
        <v>10</v>
      </c>
      <c r="G10" s="3" t="s">
        <v>11</v>
      </c>
      <c r="H10" s="2" t="s">
        <v>38</v>
      </c>
    </row>
    <row r="11" customFormat="false" ht="15" hidden="false" customHeight="false" outlineLevel="0" collapsed="false">
      <c r="A11" s="4" t="s">
        <v>39</v>
      </c>
      <c r="B11" s="4" t="s">
        <v>40</v>
      </c>
      <c r="C11" s="4" t="n">
        <v>381</v>
      </c>
      <c r="D11" s="4" t="n">
        <v>13.1</v>
      </c>
      <c r="E11" s="3" t="s">
        <v>10</v>
      </c>
      <c r="F11" s="3" t="s">
        <v>10</v>
      </c>
      <c r="G11" s="3" t="s">
        <v>11</v>
      </c>
      <c r="H11" s="4" t="s">
        <v>41</v>
      </c>
    </row>
    <row r="12" customFormat="false" ht="15" hidden="false" customHeight="false" outlineLevel="0" collapsed="false">
      <c r="A12" s="2" t="s">
        <v>42</v>
      </c>
      <c r="B12" s="2" t="s">
        <v>43</v>
      </c>
      <c r="C12" s="2" t="n">
        <v>442</v>
      </c>
      <c r="D12" s="2" t="n">
        <v>15.2</v>
      </c>
      <c r="E12" s="3" t="s">
        <v>10</v>
      </c>
      <c r="F12" s="3" t="s">
        <v>10</v>
      </c>
      <c r="G12" s="3" t="s">
        <v>11</v>
      </c>
      <c r="H12" s="2" t="s">
        <v>44</v>
      </c>
    </row>
    <row r="13" customFormat="false" ht="15" hidden="false" customHeight="false" outlineLevel="0" collapsed="false">
      <c r="A13" s="4" t="s">
        <v>45</v>
      </c>
      <c r="B13" s="4" t="s">
        <v>46</v>
      </c>
      <c r="C13" s="4" t="n">
        <v>51</v>
      </c>
      <c r="D13" s="4" t="n">
        <v>0.9</v>
      </c>
      <c r="E13" s="3" t="s">
        <v>10</v>
      </c>
      <c r="F13" s="3" t="s">
        <v>10</v>
      </c>
      <c r="G13" s="3" t="s">
        <v>11</v>
      </c>
      <c r="H13" s="4" t="s">
        <v>47</v>
      </c>
    </row>
    <row r="14" customFormat="false" ht="15" hidden="false" customHeight="false" outlineLevel="0" collapsed="false">
      <c r="A14" s="2" t="s">
        <v>48</v>
      </c>
      <c r="B14" s="2" t="s">
        <v>49</v>
      </c>
      <c r="C14" s="2" t="n">
        <v>80</v>
      </c>
      <c r="D14" s="2" t="n">
        <v>2.6</v>
      </c>
      <c r="E14" s="3" t="s">
        <v>10</v>
      </c>
      <c r="F14" s="3" t="s">
        <v>10</v>
      </c>
      <c r="G14" s="3" t="s">
        <v>11</v>
      </c>
      <c r="H14" s="2" t="s">
        <v>50</v>
      </c>
    </row>
    <row r="15" customFormat="false" ht="15" hidden="false" customHeight="false" outlineLevel="0" collapsed="false">
      <c r="A15" s="4" t="s">
        <v>51</v>
      </c>
      <c r="B15" s="4" t="s">
        <v>52</v>
      </c>
      <c r="C15" s="4" t="n">
        <v>504</v>
      </c>
      <c r="D15" s="4" t="n">
        <v>17</v>
      </c>
      <c r="E15" s="3" t="s">
        <v>10</v>
      </c>
      <c r="F15" s="3" t="s">
        <v>10</v>
      </c>
      <c r="G15" s="3" t="s">
        <v>11</v>
      </c>
      <c r="H15" s="4" t="s">
        <v>53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2" t="n">
        <v>433</v>
      </c>
      <c r="D16" s="2" t="n">
        <v>15.5</v>
      </c>
      <c r="E16" s="3" t="s">
        <v>10</v>
      </c>
      <c r="F16" s="3" t="s">
        <v>10</v>
      </c>
      <c r="G16" s="3" t="s">
        <v>11</v>
      </c>
      <c r="H16" s="2" t="s">
        <v>56</v>
      </c>
    </row>
    <row r="17" customFormat="false" ht="15" hidden="false" customHeight="false" outlineLevel="0" collapsed="false">
      <c r="A17" s="4" t="s">
        <v>57</v>
      </c>
      <c r="B17" s="4" t="s">
        <v>58</v>
      </c>
      <c r="C17" s="4" t="n">
        <v>41</v>
      </c>
      <c r="D17" s="4" t="n">
        <v>0.9</v>
      </c>
      <c r="E17" s="3" t="s">
        <v>10</v>
      </c>
      <c r="F17" s="3" t="s">
        <v>10</v>
      </c>
      <c r="G17" s="3" t="s">
        <v>11</v>
      </c>
      <c r="H17" s="4" t="s">
        <v>59</v>
      </c>
    </row>
    <row r="18" customFormat="false" ht="15" hidden="false" customHeight="false" outlineLevel="0" collapsed="false">
      <c r="A18" s="2" t="s">
        <v>60</v>
      </c>
      <c r="B18" s="2" t="s">
        <v>61</v>
      </c>
      <c r="C18" s="2" t="n">
        <v>523</v>
      </c>
      <c r="D18" s="2" t="n">
        <v>17.6</v>
      </c>
      <c r="E18" s="3" t="s">
        <v>10</v>
      </c>
      <c r="F18" s="3" t="s">
        <v>10</v>
      </c>
      <c r="G18" s="3" t="s">
        <v>11</v>
      </c>
      <c r="H18" s="2" t="s">
        <v>62</v>
      </c>
    </row>
    <row r="19" customFormat="false" ht="15" hidden="false" customHeight="false" outlineLevel="0" collapsed="false">
      <c r="A19" s="4" t="s">
        <v>63</v>
      </c>
      <c r="B19" s="4" t="s">
        <v>64</v>
      </c>
      <c r="C19" s="4" t="n">
        <v>344</v>
      </c>
      <c r="D19" s="4" t="n">
        <v>9.9</v>
      </c>
      <c r="E19" s="3" t="s">
        <v>10</v>
      </c>
      <c r="F19" s="3" t="s">
        <v>10</v>
      </c>
      <c r="G19" s="3" t="s">
        <v>11</v>
      </c>
      <c r="H19" s="4" t="s">
        <v>65</v>
      </c>
    </row>
    <row r="20" customFormat="false" ht="15" hidden="false" customHeight="false" outlineLevel="0" collapsed="false">
      <c r="A20" s="2" t="s">
        <v>66</v>
      </c>
      <c r="B20" s="2" t="s">
        <v>67</v>
      </c>
      <c r="C20" s="2" t="n">
        <v>883</v>
      </c>
      <c r="D20" s="2" t="n">
        <v>24.6</v>
      </c>
      <c r="E20" s="3" t="s">
        <v>10</v>
      </c>
      <c r="F20" s="3" t="s">
        <v>10</v>
      </c>
      <c r="G20" s="3" t="s">
        <v>11</v>
      </c>
      <c r="H20" s="2" t="s">
        <v>68</v>
      </c>
    </row>
    <row r="21" customFormat="false" ht="15" hidden="false" customHeight="false" outlineLevel="0" collapsed="false">
      <c r="A21" s="4" t="s">
        <v>69</v>
      </c>
      <c r="B21" s="4" t="s">
        <v>70</v>
      </c>
      <c r="C21" s="4" t="n">
        <v>100</v>
      </c>
      <c r="D21" s="4" t="n">
        <v>2.1</v>
      </c>
      <c r="E21" s="3" t="s">
        <v>10</v>
      </c>
      <c r="F21" s="3" t="s">
        <v>10</v>
      </c>
      <c r="G21" s="3" t="s">
        <v>11</v>
      </c>
      <c r="H21" s="4" t="s">
        <v>71</v>
      </c>
    </row>
    <row r="22" customFormat="false" ht="15" hidden="false" customHeight="false" outlineLevel="0" collapsed="false">
      <c r="A22" s="2" t="s">
        <v>72</v>
      </c>
      <c r="B22" s="2" t="s">
        <v>73</v>
      </c>
      <c r="C22" s="2" t="n">
        <v>655</v>
      </c>
      <c r="D22" s="2" t="n">
        <v>21.9</v>
      </c>
      <c r="E22" s="3" t="s">
        <v>10</v>
      </c>
      <c r="F22" s="3" t="s">
        <v>10</v>
      </c>
      <c r="G22" s="3" t="s">
        <v>11</v>
      </c>
      <c r="H22" s="2" t="s">
        <v>74</v>
      </c>
    </row>
    <row r="23" customFormat="false" ht="15" hidden="false" customHeight="false" outlineLevel="0" collapsed="false">
      <c r="A23" s="4" t="s">
        <v>75</v>
      </c>
      <c r="B23" s="4" t="s">
        <v>76</v>
      </c>
      <c r="C23" s="4" t="n">
        <v>1025</v>
      </c>
      <c r="D23" s="4" t="n">
        <v>40.3</v>
      </c>
      <c r="E23" s="3" t="s">
        <v>10</v>
      </c>
      <c r="F23" s="3" t="s">
        <v>10</v>
      </c>
      <c r="G23" s="3" t="s">
        <v>11</v>
      </c>
      <c r="H23" s="4" t="s">
        <v>77</v>
      </c>
    </row>
    <row r="24" customFormat="false" ht="15" hidden="false" customHeight="false" outlineLevel="0" collapsed="false">
      <c r="A24" s="2" t="s">
        <v>78</v>
      </c>
      <c r="B24" s="2" t="s">
        <v>79</v>
      </c>
      <c r="C24" s="2" t="n">
        <v>655</v>
      </c>
      <c r="D24" s="2" t="n">
        <v>20.9</v>
      </c>
      <c r="E24" s="3" t="s">
        <v>10</v>
      </c>
      <c r="F24" s="3" t="s">
        <v>10</v>
      </c>
      <c r="G24" s="3" t="s">
        <v>11</v>
      </c>
      <c r="H24" s="2" t="s">
        <v>80</v>
      </c>
    </row>
    <row r="25" customFormat="false" ht="15" hidden="false" customHeight="false" outlineLevel="0" collapsed="false">
      <c r="A25" s="4" t="s">
        <v>81</v>
      </c>
      <c r="B25" s="4" t="s">
        <v>82</v>
      </c>
      <c r="C25" s="4" t="n">
        <v>583</v>
      </c>
      <c r="D25" s="4" t="n">
        <v>20.4</v>
      </c>
      <c r="E25" s="3" t="s">
        <v>10</v>
      </c>
      <c r="F25" s="3" t="s">
        <v>10</v>
      </c>
      <c r="G25" s="3" t="s">
        <v>11</v>
      </c>
      <c r="H25" s="4" t="s">
        <v>83</v>
      </c>
    </row>
    <row r="26" customFormat="false" ht="15" hidden="false" customHeight="false" outlineLevel="0" collapsed="false">
      <c r="A26" s="2" t="s">
        <v>84</v>
      </c>
      <c r="B26" s="2" t="s">
        <v>85</v>
      </c>
      <c r="C26" s="2" t="n">
        <v>1100</v>
      </c>
      <c r="D26" s="2" t="n">
        <v>34.8</v>
      </c>
      <c r="E26" s="3" t="s">
        <v>10</v>
      </c>
      <c r="F26" s="5" t="s">
        <v>24</v>
      </c>
      <c r="G26" s="5" t="s">
        <v>25</v>
      </c>
      <c r="H26" s="2" t="s">
        <v>86</v>
      </c>
    </row>
    <row r="27" customFormat="false" ht="15" hidden="false" customHeight="false" outlineLevel="0" collapsed="false">
      <c r="A27" s="4" t="s">
        <v>87</v>
      </c>
      <c r="B27" s="4" t="s">
        <v>88</v>
      </c>
      <c r="C27" s="4" t="n">
        <v>1661</v>
      </c>
      <c r="D27" s="4" t="n">
        <v>55.8</v>
      </c>
      <c r="E27" s="3" t="s">
        <v>10</v>
      </c>
      <c r="F27" s="3" t="s">
        <v>10</v>
      </c>
      <c r="G27" s="3" t="s">
        <v>11</v>
      </c>
      <c r="H27" s="4" t="s">
        <v>89</v>
      </c>
    </row>
    <row r="28" customFormat="false" ht="15" hidden="false" customHeight="false" outlineLevel="0" collapsed="false">
      <c r="A28" s="2" t="s">
        <v>90</v>
      </c>
      <c r="B28" s="2" t="s">
        <v>91</v>
      </c>
      <c r="C28" s="2" t="n">
        <v>1014</v>
      </c>
      <c r="D28" s="2" t="n">
        <v>40.2</v>
      </c>
      <c r="E28" s="3" t="s">
        <v>10</v>
      </c>
      <c r="F28" s="3" t="s">
        <v>10</v>
      </c>
      <c r="G28" s="3" t="s">
        <v>11</v>
      </c>
      <c r="H28" s="2" t="s">
        <v>92</v>
      </c>
    </row>
    <row r="29" customFormat="false" ht="23.85" hidden="false" customHeight="false" outlineLevel="0" collapsed="false">
      <c r="A29" s="4" t="s">
        <v>93</v>
      </c>
      <c r="B29" s="4" t="s">
        <v>94</v>
      </c>
      <c r="C29" s="4" t="n">
        <v>1953</v>
      </c>
      <c r="D29" s="4" t="n">
        <v>47.5</v>
      </c>
      <c r="E29" s="3" t="s">
        <v>10</v>
      </c>
      <c r="F29" s="5" t="s">
        <v>24</v>
      </c>
      <c r="G29" s="5" t="s">
        <v>25</v>
      </c>
      <c r="H29" s="4" t="s">
        <v>95</v>
      </c>
    </row>
    <row r="30" customFormat="false" ht="15" hidden="false" customHeight="false" outlineLevel="0" collapsed="false">
      <c r="A30" s="2" t="s">
        <v>96</v>
      </c>
      <c r="B30" s="2" t="s">
        <v>97</v>
      </c>
      <c r="C30" s="2" t="n">
        <v>1837</v>
      </c>
      <c r="D30" s="2" t="n">
        <v>59.8</v>
      </c>
      <c r="E30" s="3" t="s">
        <v>10</v>
      </c>
      <c r="F30" s="5" t="s">
        <v>24</v>
      </c>
      <c r="G30" s="5" t="s">
        <v>25</v>
      </c>
      <c r="H30" s="2" t="s">
        <v>98</v>
      </c>
    </row>
    <row r="31" customFormat="false" ht="15" hidden="false" customHeight="false" outlineLevel="0" collapsed="false">
      <c r="A31" s="4" t="s">
        <v>99</v>
      </c>
      <c r="B31" s="4" t="s">
        <v>100</v>
      </c>
      <c r="C31" s="4" t="n">
        <v>738</v>
      </c>
      <c r="D31" s="4" t="n">
        <v>26.4</v>
      </c>
      <c r="E31" s="3" t="s">
        <v>10</v>
      </c>
      <c r="F31" s="3" t="s">
        <v>10</v>
      </c>
      <c r="G31" s="3" t="s">
        <v>11</v>
      </c>
      <c r="H31" s="4" t="s">
        <v>101</v>
      </c>
    </row>
    <row r="32" customFormat="false" ht="15" hidden="false" customHeight="false" outlineLevel="0" collapsed="false">
      <c r="A32" s="2" t="s">
        <v>102</v>
      </c>
      <c r="B32" s="2" t="s">
        <v>103</v>
      </c>
      <c r="C32" s="2" t="n">
        <v>1630</v>
      </c>
      <c r="D32" s="2" t="n">
        <v>61.4</v>
      </c>
      <c r="E32" s="3" t="s">
        <v>10</v>
      </c>
      <c r="F32" s="3" t="s">
        <v>10</v>
      </c>
      <c r="G32" s="3" t="s">
        <v>11</v>
      </c>
      <c r="H32" s="2" t="s">
        <v>104</v>
      </c>
    </row>
    <row r="33" customFormat="false" ht="15" hidden="false" customHeight="false" outlineLevel="0" collapsed="false">
      <c r="A33" s="4" t="s">
        <v>105</v>
      </c>
      <c r="B33" s="4" t="s">
        <v>106</v>
      </c>
      <c r="C33" s="4" t="n">
        <v>1586</v>
      </c>
      <c r="D33" s="4" t="n">
        <v>61.5</v>
      </c>
      <c r="E33" s="3" t="s">
        <v>10</v>
      </c>
      <c r="F33" s="3" t="s">
        <v>10</v>
      </c>
      <c r="G33" s="3" t="s">
        <v>11</v>
      </c>
      <c r="H33" s="4" t="s">
        <v>107</v>
      </c>
    </row>
    <row r="34" customFormat="false" ht="15" hidden="false" customHeight="false" outlineLevel="0" collapsed="false">
      <c r="A34" s="2" t="s">
        <v>108</v>
      </c>
      <c r="B34" s="2" t="s">
        <v>109</v>
      </c>
      <c r="C34" s="2" t="n">
        <v>1358</v>
      </c>
      <c r="D34" s="2" t="n">
        <v>46.1</v>
      </c>
      <c r="E34" s="3" t="s">
        <v>10</v>
      </c>
      <c r="F34" s="3" t="s">
        <v>10</v>
      </c>
      <c r="G34" s="3" t="s">
        <v>11</v>
      </c>
      <c r="H34" s="2" t="s">
        <v>110</v>
      </c>
    </row>
    <row r="35" customFormat="false" ht="15" hidden="false" customHeight="false" outlineLevel="0" collapsed="false">
      <c r="A35" s="4" t="s">
        <v>111</v>
      </c>
      <c r="B35" s="4" t="s">
        <v>112</v>
      </c>
      <c r="C35" s="4" t="n">
        <v>1345</v>
      </c>
      <c r="D35" s="4" t="n">
        <v>48.1</v>
      </c>
      <c r="E35" s="3" t="s">
        <v>10</v>
      </c>
      <c r="F35" s="3" t="s">
        <v>10</v>
      </c>
      <c r="G35" s="3" t="s">
        <v>11</v>
      </c>
      <c r="H35" s="4" t="s">
        <v>113</v>
      </c>
    </row>
    <row r="36" customFormat="false" ht="15" hidden="false" customHeight="false" outlineLevel="0" collapsed="false">
      <c r="A36" s="2" t="s">
        <v>114</v>
      </c>
      <c r="B36" s="2" t="s">
        <v>115</v>
      </c>
      <c r="C36" s="2" t="n">
        <v>1486</v>
      </c>
      <c r="D36" s="2" t="n">
        <v>47.4</v>
      </c>
      <c r="E36" s="3" t="s">
        <v>10</v>
      </c>
      <c r="F36" s="3" t="s">
        <v>10</v>
      </c>
      <c r="G36" s="3" t="s">
        <v>11</v>
      </c>
      <c r="H36" s="2" t="s">
        <v>116</v>
      </c>
    </row>
    <row r="37" customFormat="false" ht="15" hidden="false" customHeight="false" outlineLevel="0" collapsed="false">
      <c r="A37" s="4" t="s">
        <v>117</v>
      </c>
      <c r="B37" s="4" t="s">
        <v>118</v>
      </c>
      <c r="C37" s="4" t="n">
        <v>2005</v>
      </c>
      <c r="D37" s="4" t="n">
        <v>79.5</v>
      </c>
      <c r="E37" s="3" t="s">
        <v>10</v>
      </c>
      <c r="F37" s="3" t="s">
        <v>10</v>
      </c>
      <c r="G37" s="3" t="s">
        <v>11</v>
      </c>
      <c r="H37" s="4" t="s">
        <v>119</v>
      </c>
    </row>
    <row r="38" customFormat="false" ht="15" hidden="false" customHeight="false" outlineLevel="0" collapsed="false">
      <c r="A38" s="2" t="s">
        <v>120</v>
      </c>
      <c r="B38" s="2" t="s">
        <v>121</v>
      </c>
      <c r="C38" s="2" t="n">
        <v>514</v>
      </c>
      <c r="D38" s="2" t="n">
        <v>17.2</v>
      </c>
      <c r="E38" s="3" t="s">
        <v>10</v>
      </c>
      <c r="F38" s="3" t="s">
        <v>10</v>
      </c>
      <c r="G38" s="3" t="s">
        <v>11</v>
      </c>
      <c r="H38" s="2" t="s">
        <v>122</v>
      </c>
    </row>
    <row r="39" customFormat="false" ht="15" hidden="false" customHeight="false" outlineLevel="0" collapsed="false">
      <c r="A39" s="4" t="s">
        <v>123</v>
      </c>
      <c r="B39" s="4" t="s">
        <v>124</v>
      </c>
      <c r="C39" s="4" t="n">
        <v>54</v>
      </c>
      <c r="D39" s="4" t="n">
        <v>1.1</v>
      </c>
      <c r="E39" s="3" t="s">
        <v>10</v>
      </c>
      <c r="F39" s="3" t="s">
        <v>10</v>
      </c>
      <c r="G39" s="3" t="s">
        <v>11</v>
      </c>
      <c r="H39" s="4" t="s">
        <v>125</v>
      </c>
    </row>
    <row r="40" customFormat="false" ht="15" hidden="false" customHeight="false" outlineLevel="0" collapsed="false">
      <c r="A40" s="2" t="s">
        <v>126</v>
      </c>
      <c r="B40" s="2" t="s">
        <v>127</v>
      </c>
      <c r="C40" s="2" t="n">
        <v>546</v>
      </c>
      <c r="D40" s="2" t="n">
        <v>19.9</v>
      </c>
      <c r="E40" s="3" t="s">
        <v>10</v>
      </c>
      <c r="F40" s="3" t="s">
        <v>10</v>
      </c>
      <c r="G40" s="3" t="s">
        <v>11</v>
      </c>
      <c r="H40" s="2" t="s">
        <v>128</v>
      </c>
    </row>
    <row r="41" customFormat="false" ht="15" hidden="false" customHeight="false" outlineLevel="0" collapsed="false">
      <c r="A41" s="4" t="s">
        <v>129</v>
      </c>
      <c r="B41" s="4" t="s">
        <v>130</v>
      </c>
      <c r="C41" s="4" t="n">
        <v>1</v>
      </c>
      <c r="D41" s="4" t="n">
        <v>0</v>
      </c>
      <c r="E41" s="3" t="s">
        <v>10</v>
      </c>
      <c r="F41" s="3" t="s">
        <v>10</v>
      </c>
      <c r="G41" s="3" t="s">
        <v>11</v>
      </c>
      <c r="H41" s="4" t="s">
        <v>131</v>
      </c>
    </row>
    <row r="42" customFormat="false" ht="15" hidden="false" customHeight="false" outlineLevel="0" collapsed="false">
      <c r="A42" s="2" t="s">
        <v>132</v>
      </c>
      <c r="B42" s="2" t="s">
        <v>133</v>
      </c>
      <c r="C42" s="2" t="n">
        <v>630</v>
      </c>
      <c r="D42" s="2" t="n">
        <v>24</v>
      </c>
      <c r="E42" s="3" t="s">
        <v>10</v>
      </c>
      <c r="F42" s="3" t="s">
        <v>10</v>
      </c>
      <c r="G42" s="3" t="s">
        <v>11</v>
      </c>
      <c r="H42" s="2" t="s">
        <v>134</v>
      </c>
    </row>
    <row r="43" customFormat="false" ht="15" hidden="false" customHeight="false" outlineLevel="0" collapsed="false">
      <c r="A43" s="4" t="s">
        <v>135</v>
      </c>
      <c r="B43" s="4" t="s">
        <v>136</v>
      </c>
      <c r="C43" s="4" t="n">
        <v>220</v>
      </c>
      <c r="D43" s="4" t="n">
        <v>9.2</v>
      </c>
      <c r="E43" s="3" t="s">
        <v>10</v>
      </c>
      <c r="F43" s="3" t="s">
        <v>10</v>
      </c>
      <c r="G43" s="3" t="s">
        <v>11</v>
      </c>
      <c r="H43" s="4" t="s">
        <v>137</v>
      </c>
    </row>
    <row r="44" customFormat="false" ht="15" hidden="false" customHeight="false" outlineLevel="0" collapsed="false">
      <c r="A44" s="2" t="s">
        <v>138</v>
      </c>
      <c r="B44" s="2" t="s">
        <v>139</v>
      </c>
      <c r="C44" s="2" t="n">
        <v>123</v>
      </c>
      <c r="D44" s="2" t="n">
        <v>4.7</v>
      </c>
      <c r="E44" s="3" t="s">
        <v>10</v>
      </c>
      <c r="F44" s="3" t="s">
        <v>10</v>
      </c>
      <c r="G44" s="3" t="s">
        <v>11</v>
      </c>
      <c r="H44" s="2" t="s">
        <v>140</v>
      </c>
    </row>
    <row r="45" customFormat="false" ht="15" hidden="false" customHeight="false" outlineLevel="0" collapsed="false">
      <c r="A45" s="4" t="s">
        <v>141</v>
      </c>
      <c r="B45" s="4" t="s">
        <v>142</v>
      </c>
      <c r="C45" s="4" t="n">
        <v>974</v>
      </c>
      <c r="D45" s="4" t="n">
        <v>31.1</v>
      </c>
      <c r="E45" s="3" t="s">
        <v>10</v>
      </c>
      <c r="F45" s="3" t="s">
        <v>10</v>
      </c>
      <c r="G45" s="3" t="s">
        <v>11</v>
      </c>
      <c r="H45" s="4" t="s">
        <v>143</v>
      </c>
    </row>
    <row r="46" customFormat="false" ht="15" hidden="false" customHeight="false" outlineLevel="0" collapsed="false">
      <c r="A46" s="2" t="s">
        <v>144</v>
      </c>
      <c r="B46" s="2" t="s">
        <v>145</v>
      </c>
      <c r="C46" s="2" t="n">
        <v>966</v>
      </c>
      <c r="D46" s="2" t="n">
        <v>34.5</v>
      </c>
      <c r="E46" s="3" t="s">
        <v>10</v>
      </c>
      <c r="F46" s="3" t="s">
        <v>10</v>
      </c>
      <c r="G46" s="3" t="s">
        <v>11</v>
      </c>
      <c r="H46" s="2" t="s">
        <v>146</v>
      </c>
    </row>
    <row r="47" customFormat="false" ht="23.85" hidden="false" customHeight="false" outlineLevel="0" collapsed="false">
      <c r="A47" s="4" t="s">
        <v>147</v>
      </c>
      <c r="B47" s="4" t="s">
        <v>148</v>
      </c>
      <c r="C47" s="4" t="n">
        <v>809</v>
      </c>
      <c r="D47" s="4" t="n">
        <v>25.8</v>
      </c>
      <c r="E47" s="3" t="s">
        <v>10</v>
      </c>
      <c r="F47" s="5" t="s">
        <v>24</v>
      </c>
      <c r="G47" s="5" t="s">
        <v>25</v>
      </c>
      <c r="H47" s="4" t="s">
        <v>149</v>
      </c>
    </row>
    <row r="48" customFormat="false" ht="15" hidden="false" customHeight="false" outlineLevel="0" collapsed="false">
      <c r="A48" s="2" t="s">
        <v>150</v>
      </c>
      <c r="B48" s="2" t="s">
        <v>151</v>
      </c>
      <c r="C48" s="2" t="n">
        <v>652</v>
      </c>
      <c r="D48" s="2" t="n">
        <v>21.5</v>
      </c>
      <c r="E48" s="3" t="s">
        <v>10</v>
      </c>
      <c r="F48" s="3" t="s">
        <v>10</v>
      </c>
      <c r="G48" s="3" t="s">
        <v>11</v>
      </c>
      <c r="H48" s="2" t="s">
        <v>152</v>
      </c>
    </row>
    <row r="49" customFormat="false" ht="15" hidden="false" customHeight="false" outlineLevel="0" collapsed="false">
      <c r="A49" s="4" t="s">
        <v>153</v>
      </c>
      <c r="B49" s="4" t="s">
        <v>154</v>
      </c>
      <c r="C49" s="4" t="n">
        <v>126</v>
      </c>
      <c r="D49" s="4" t="n">
        <v>4.2</v>
      </c>
      <c r="E49" s="3" t="s">
        <v>10</v>
      </c>
      <c r="F49" s="3" t="s">
        <v>10</v>
      </c>
      <c r="G49" s="3" t="s">
        <v>11</v>
      </c>
      <c r="H49" s="4" t="s">
        <v>155</v>
      </c>
    </row>
    <row r="50" customFormat="false" ht="15" hidden="false" customHeight="false" outlineLevel="0" collapsed="false">
      <c r="A50" s="2" t="s">
        <v>156</v>
      </c>
      <c r="B50" s="2" t="s">
        <v>157</v>
      </c>
      <c r="C50" s="2" t="n">
        <v>1036</v>
      </c>
      <c r="D50" s="2" t="n">
        <v>34.8</v>
      </c>
      <c r="E50" s="3" t="s">
        <v>10</v>
      </c>
      <c r="F50" s="3" t="s">
        <v>10</v>
      </c>
      <c r="G50" s="3" t="s">
        <v>11</v>
      </c>
      <c r="H50" s="2" t="s">
        <v>158</v>
      </c>
    </row>
    <row r="51" customFormat="false" ht="15" hidden="false" customHeight="false" outlineLevel="0" collapsed="false">
      <c r="A51" s="4" t="s">
        <v>159</v>
      </c>
      <c r="B51" s="4" t="s">
        <v>160</v>
      </c>
      <c r="C51" s="4" t="n">
        <v>112</v>
      </c>
      <c r="D51" s="4" t="n">
        <v>3.7</v>
      </c>
      <c r="E51" s="3" t="s">
        <v>10</v>
      </c>
      <c r="F51" s="3" t="s">
        <v>10</v>
      </c>
      <c r="G51" s="3" t="s">
        <v>11</v>
      </c>
      <c r="H51" s="4" t="s">
        <v>161</v>
      </c>
    </row>
    <row r="52" customFormat="false" ht="15" hidden="false" customHeight="false" outlineLevel="0" collapsed="false">
      <c r="A52" s="2" t="s">
        <v>162</v>
      </c>
      <c r="B52" s="2" t="s">
        <v>163</v>
      </c>
      <c r="C52" s="2" t="n">
        <v>114</v>
      </c>
      <c r="D52" s="2" t="n">
        <v>4</v>
      </c>
      <c r="E52" s="3" t="s">
        <v>10</v>
      </c>
      <c r="F52" s="3" t="s">
        <v>10</v>
      </c>
      <c r="G52" s="3" t="s">
        <v>11</v>
      </c>
      <c r="H52" s="2" t="s">
        <v>164</v>
      </c>
    </row>
    <row r="53" customFormat="false" ht="15" hidden="false" customHeight="false" outlineLevel="0" collapsed="false">
      <c r="A53" s="4" t="s">
        <v>165</v>
      </c>
      <c r="B53" s="4" t="s">
        <v>166</v>
      </c>
      <c r="C53" s="4" t="n">
        <v>148</v>
      </c>
      <c r="D53" s="4" t="n">
        <v>5.5</v>
      </c>
      <c r="E53" s="3" t="s">
        <v>10</v>
      </c>
      <c r="F53" s="3" t="s">
        <v>10</v>
      </c>
      <c r="G53" s="3" t="s">
        <v>11</v>
      </c>
      <c r="H53" s="4" t="s">
        <v>167</v>
      </c>
    </row>
    <row r="54" customFormat="false" ht="15" hidden="false" customHeight="false" outlineLevel="0" collapsed="false">
      <c r="A54" s="2" t="s">
        <v>168</v>
      </c>
      <c r="B54" s="2" t="s">
        <v>169</v>
      </c>
      <c r="C54" s="2" t="n">
        <v>140</v>
      </c>
      <c r="D54" s="2" t="n">
        <v>5</v>
      </c>
      <c r="E54" s="3" t="s">
        <v>10</v>
      </c>
      <c r="F54" s="3" t="s">
        <v>10</v>
      </c>
      <c r="G54" s="3" t="s">
        <v>11</v>
      </c>
      <c r="H54" s="2" t="s">
        <v>170</v>
      </c>
    </row>
    <row r="55" customFormat="false" ht="15" hidden="false" customHeight="false" outlineLevel="0" collapsed="false">
      <c r="A55" s="6" t="s">
        <v>171</v>
      </c>
      <c r="C55" s="6" t="n">
        <f aca="false">SUM(C2:C54)</f>
        <v>35719</v>
      </c>
      <c r="D55" s="6" t="n">
        <f aca="false">SUM(D2:D54)</f>
        <v>1218</v>
      </c>
      <c r="E55" s="6" t="str">
        <f aca="false">COUNTIF(E2:E54,"*OK*")&amp;"/"&amp;COUNTA(E2:E54)</f>
        <v>53/53</v>
      </c>
      <c r="G55" s="6" t="str">
        <f aca="false">COUNTIF(G2:G54,"*Çalışıyor*")&amp;" OK / "&amp;COUNTIF(G2:G54,"*Kısmi*")&amp;" Kısmi"</f>
        <v>48 OK / 5 Kısmi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178</v>
      </c>
      <c r="C2" s="2" t="s">
        <v>179</v>
      </c>
      <c r="D2" s="2" t="s">
        <v>180</v>
      </c>
      <c r="E2" s="2" t="s">
        <v>28</v>
      </c>
      <c r="F2" s="2" t="s">
        <v>181</v>
      </c>
      <c r="G2" s="3" t="s">
        <v>11</v>
      </c>
    </row>
    <row r="3" customFormat="false" ht="15" hidden="false" customHeight="false" outlineLevel="0" collapsed="false">
      <c r="A3" s="4" t="n">
        <v>2</v>
      </c>
      <c r="B3" s="4" t="s">
        <v>182</v>
      </c>
      <c r="C3" s="4" t="s">
        <v>179</v>
      </c>
      <c r="D3" s="4" t="s">
        <v>183</v>
      </c>
      <c r="E3" s="4" t="s">
        <v>28</v>
      </c>
      <c r="F3" s="4" t="s">
        <v>184</v>
      </c>
      <c r="G3" s="3" t="s">
        <v>11</v>
      </c>
    </row>
    <row r="4" customFormat="false" ht="15" hidden="false" customHeight="false" outlineLevel="0" collapsed="false">
      <c r="A4" s="2" t="n">
        <v>3</v>
      </c>
      <c r="B4" s="2" t="s">
        <v>185</v>
      </c>
      <c r="C4" s="2" t="s">
        <v>179</v>
      </c>
      <c r="D4" s="2" t="s">
        <v>186</v>
      </c>
      <c r="E4" s="2" t="s">
        <v>28</v>
      </c>
      <c r="F4" s="2" t="s">
        <v>187</v>
      </c>
      <c r="G4" s="3" t="s">
        <v>11</v>
      </c>
    </row>
    <row r="5" customFormat="false" ht="15" hidden="false" customHeight="false" outlineLevel="0" collapsed="false">
      <c r="A5" s="4" t="n">
        <v>4</v>
      </c>
      <c r="B5" s="4" t="s">
        <v>188</v>
      </c>
      <c r="C5" s="4" t="s">
        <v>179</v>
      </c>
      <c r="D5" s="4" t="s">
        <v>189</v>
      </c>
      <c r="E5" s="4" t="s">
        <v>28</v>
      </c>
      <c r="F5" s="4" t="s">
        <v>190</v>
      </c>
      <c r="G5" s="3" t="s">
        <v>11</v>
      </c>
    </row>
    <row r="6" customFormat="false" ht="15" hidden="false" customHeight="false" outlineLevel="0" collapsed="false">
      <c r="A6" s="2" t="n">
        <v>5</v>
      </c>
      <c r="B6" s="2" t="s">
        <v>191</v>
      </c>
      <c r="C6" s="2" t="s">
        <v>179</v>
      </c>
      <c r="D6" s="2" t="s">
        <v>192</v>
      </c>
      <c r="E6" s="2" t="s">
        <v>28</v>
      </c>
      <c r="F6" s="2" t="s">
        <v>193</v>
      </c>
      <c r="G6" s="3" t="s">
        <v>11</v>
      </c>
    </row>
    <row r="7" customFormat="false" ht="15" hidden="false" customHeight="false" outlineLevel="0" collapsed="false">
      <c r="A7" s="4" t="n">
        <v>6</v>
      </c>
      <c r="B7" s="4" t="s">
        <v>194</v>
      </c>
      <c r="C7" s="4" t="s">
        <v>179</v>
      </c>
      <c r="D7" s="4" t="s">
        <v>195</v>
      </c>
      <c r="E7" s="4" t="s">
        <v>28</v>
      </c>
      <c r="F7" s="4" t="s">
        <v>196</v>
      </c>
      <c r="G7" s="3" t="s">
        <v>11</v>
      </c>
    </row>
    <row r="8" customFormat="false" ht="15" hidden="false" customHeight="false" outlineLevel="0" collapsed="false">
      <c r="A8" s="2" t="n">
        <v>7</v>
      </c>
      <c r="B8" s="2" t="s">
        <v>197</v>
      </c>
      <c r="C8" s="2" t="s">
        <v>179</v>
      </c>
      <c r="D8" s="2" t="s">
        <v>198</v>
      </c>
      <c r="E8" s="2" t="s">
        <v>28</v>
      </c>
      <c r="F8" s="2" t="s">
        <v>199</v>
      </c>
      <c r="G8" s="3" t="s">
        <v>11</v>
      </c>
    </row>
    <row r="9" customFormat="false" ht="15" hidden="false" customHeight="false" outlineLevel="0" collapsed="false">
      <c r="A9" s="4" t="n">
        <v>8</v>
      </c>
      <c r="B9" s="4" t="s">
        <v>200</v>
      </c>
      <c r="C9" s="4" t="s">
        <v>179</v>
      </c>
      <c r="D9" s="4" t="s">
        <v>201</v>
      </c>
      <c r="E9" s="4" t="s">
        <v>28</v>
      </c>
      <c r="F9" s="4" t="s">
        <v>202</v>
      </c>
      <c r="G9" s="3" t="s">
        <v>11</v>
      </c>
    </row>
    <row r="10" customFormat="false" ht="15" hidden="false" customHeight="false" outlineLevel="0" collapsed="false">
      <c r="A10" s="2" t="n">
        <v>9</v>
      </c>
      <c r="B10" s="2" t="s">
        <v>203</v>
      </c>
      <c r="C10" s="2" t="s">
        <v>179</v>
      </c>
      <c r="D10" s="2" t="s">
        <v>204</v>
      </c>
      <c r="E10" s="2" t="s">
        <v>28</v>
      </c>
      <c r="F10" s="2" t="s">
        <v>205</v>
      </c>
      <c r="G10" s="3" t="s">
        <v>11</v>
      </c>
    </row>
    <row r="11" customFormat="false" ht="15" hidden="false" customHeight="false" outlineLevel="0" collapsed="false">
      <c r="A11" s="4" t="n">
        <v>10</v>
      </c>
      <c r="B11" s="4" t="s">
        <v>206</v>
      </c>
      <c r="C11" s="4" t="s">
        <v>207</v>
      </c>
      <c r="D11" s="4" t="s">
        <v>208</v>
      </c>
      <c r="E11" s="4" t="s">
        <v>28</v>
      </c>
      <c r="F11" s="4" t="s">
        <v>209</v>
      </c>
      <c r="G11" s="3" t="s">
        <v>11</v>
      </c>
    </row>
    <row r="12" customFormat="false" ht="15" hidden="false" customHeight="false" outlineLevel="0" collapsed="false">
      <c r="A12" s="2" t="n">
        <v>11</v>
      </c>
      <c r="B12" s="2" t="s">
        <v>210</v>
      </c>
      <c r="C12" s="2" t="s">
        <v>207</v>
      </c>
      <c r="D12" s="2" t="s">
        <v>211</v>
      </c>
      <c r="E12" s="2" t="s">
        <v>28</v>
      </c>
      <c r="F12" s="2" t="s">
        <v>212</v>
      </c>
      <c r="G12" s="3" t="s">
        <v>11</v>
      </c>
    </row>
    <row r="13" customFormat="false" ht="15" hidden="false" customHeight="false" outlineLevel="0" collapsed="false">
      <c r="A13" s="4" t="n">
        <v>12</v>
      </c>
      <c r="B13" s="4" t="s">
        <v>213</v>
      </c>
      <c r="C13" s="4" t="s">
        <v>207</v>
      </c>
      <c r="D13" s="4" t="s">
        <v>214</v>
      </c>
      <c r="E13" s="4" t="s">
        <v>28</v>
      </c>
      <c r="F13" s="4" t="s">
        <v>215</v>
      </c>
      <c r="G13" s="3" t="s">
        <v>11</v>
      </c>
    </row>
    <row r="14" customFormat="false" ht="15" hidden="false" customHeight="false" outlineLevel="0" collapsed="false">
      <c r="A14" s="2" t="n">
        <v>13</v>
      </c>
      <c r="B14" s="2" t="s">
        <v>216</v>
      </c>
      <c r="C14" s="2" t="s">
        <v>207</v>
      </c>
      <c r="D14" s="2" t="s">
        <v>217</v>
      </c>
      <c r="E14" s="2" t="s">
        <v>28</v>
      </c>
      <c r="F14" s="2" t="s">
        <v>218</v>
      </c>
      <c r="G14" s="3" t="s">
        <v>11</v>
      </c>
    </row>
    <row r="15" customFormat="false" ht="15" hidden="false" customHeight="false" outlineLevel="0" collapsed="false">
      <c r="A15" s="4" t="n">
        <v>14</v>
      </c>
      <c r="B15" s="4" t="s">
        <v>219</v>
      </c>
      <c r="C15" s="4" t="s">
        <v>207</v>
      </c>
      <c r="D15" s="4" t="s">
        <v>220</v>
      </c>
      <c r="E15" s="4" t="s">
        <v>28</v>
      </c>
      <c r="F15" s="4" t="s">
        <v>221</v>
      </c>
      <c r="G15" s="3" t="s">
        <v>11</v>
      </c>
    </row>
    <row r="16" customFormat="false" ht="15" hidden="false" customHeight="false" outlineLevel="0" collapsed="false">
      <c r="A16" s="2" t="n">
        <v>15</v>
      </c>
      <c r="B16" s="2" t="s">
        <v>210</v>
      </c>
      <c r="C16" s="2" t="s">
        <v>222</v>
      </c>
      <c r="D16" s="2" t="s">
        <v>223</v>
      </c>
      <c r="E16" s="2" t="s">
        <v>28</v>
      </c>
      <c r="F16" s="2" t="s">
        <v>224</v>
      </c>
      <c r="G16" s="3" t="s">
        <v>11</v>
      </c>
    </row>
    <row r="17" customFormat="false" ht="15" hidden="false" customHeight="false" outlineLevel="0" collapsed="false">
      <c r="A17" s="4" t="n">
        <v>16</v>
      </c>
      <c r="B17" s="4" t="s">
        <v>225</v>
      </c>
      <c r="C17" s="4" t="s">
        <v>207</v>
      </c>
      <c r="D17" s="4" t="s">
        <v>226</v>
      </c>
      <c r="E17" s="4" t="s">
        <v>28</v>
      </c>
      <c r="F17" s="4" t="s">
        <v>227</v>
      </c>
      <c r="G17" s="3" t="s">
        <v>11</v>
      </c>
    </row>
    <row r="18" customFormat="false" ht="15" hidden="false" customHeight="false" outlineLevel="0" collapsed="false">
      <c r="A18" s="2" t="n">
        <v>17</v>
      </c>
      <c r="B18" s="2" t="s">
        <v>228</v>
      </c>
      <c r="C18" s="2" t="s">
        <v>207</v>
      </c>
      <c r="D18" s="2" t="s">
        <v>229</v>
      </c>
      <c r="E18" s="2" t="s">
        <v>28</v>
      </c>
      <c r="F18" s="2" t="s">
        <v>230</v>
      </c>
      <c r="G18" s="3" t="s">
        <v>11</v>
      </c>
    </row>
    <row r="19" customFormat="false" ht="15" hidden="false" customHeight="false" outlineLevel="0" collapsed="false">
      <c r="A19" s="4" t="n">
        <v>18</v>
      </c>
      <c r="B19" s="4" t="s">
        <v>231</v>
      </c>
      <c r="C19" s="4" t="s">
        <v>207</v>
      </c>
      <c r="D19" s="4" t="s">
        <v>232</v>
      </c>
      <c r="E19" s="4" t="s">
        <v>28</v>
      </c>
      <c r="F19" s="4" t="s">
        <v>233</v>
      </c>
      <c r="G19" s="3" t="s">
        <v>11</v>
      </c>
    </row>
    <row r="20" customFormat="false" ht="15" hidden="false" customHeight="false" outlineLevel="0" collapsed="false">
      <c r="A20" s="2" t="n">
        <v>19</v>
      </c>
      <c r="B20" s="2" t="s">
        <v>234</v>
      </c>
      <c r="C20" s="2" t="s">
        <v>207</v>
      </c>
      <c r="D20" s="2" t="s">
        <v>235</v>
      </c>
      <c r="E20" s="2" t="s">
        <v>28</v>
      </c>
      <c r="F20" s="2" t="s">
        <v>236</v>
      </c>
      <c r="G20" s="3" t="s">
        <v>11</v>
      </c>
    </row>
    <row r="21" customFormat="false" ht="15" hidden="false" customHeight="false" outlineLevel="0" collapsed="false">
      <c r="A21" s="4" t="n">
        <v>20</v>
      </c>
      <c r="B21" s="4" t="s">
        <v>237</v>
      </c>
      <c r="C21" s="4" t="s">
        <v>207</v>
      </c>
      <c r="D21" s="4" t="s">
        <v>238</v>
      </c>
      <c r="E21" s="4" t="s">
        <v>28</v>
      </c>
      <c r="F21" s="4" t="s">
        <v>239</v>
      </c>
      <c r="G21" s="3" t="s">
        <v>11</v>
      </c>
    </row>
    <row r="22" customFormat="false" ht="15" hidden="false" customHeight="false" outlineLevel="0" collapsed="false">
      <c r="A22" s="2" t="n">
        <v>21</v>
      </c>
      <c r="B22" s="2" t="s">
        <v>240</v>
      </c>
      <c r="C22" s="2" t="s">
        <v>207</v>
      </c>
      <c r="D22" s="2" t="s">
        <v>241</v>
      </c>
      <c r="E22" s="2" t="s">
        <v>28</v>
      </c>
      <c r="F22" s="2" t="s">
        <v>242</v>
      </c>
      <c r="G22" s="3" t="s">
        <v>11</v>
      </c>
    </row>
    <row r="23" customFormat="false" ht="15" hidden="false" customHeight="false" outlineLevel="0" collapsed="false">
      <c r="A23" s="4" t="n">
        <v>22</v>
      </c>
      <c r="B23" s="4" t="s">
        <v>243</v>
      </c>
      <c r="C23" s="4" t="s">
        <v>179</v>
      </c>
      <c r="D23" s="4" t="s">
        <v>244</v>
      </c>
      <c r="E23" s="4" t="s">
        <v>23</v>
      </c>
      <c r="F23" s="4" t="s">
        <v>245</v>
      </c>
      <c r="G23" s="5" t="s">
        <v>25</v>
      </c>
    </row>
    <row r="24" customFormat="false" ht="15" hidden="false" customHeight="false" outlineLevel="0" collapsed="false">
      <c r="A24" s="2" t="n">
        <v>23</v>
      </c>
      <c r="B24" s="2" t="s">
        <v>246</v>
      </c>
      <c r="C24" s="2" t="s">
        <v>179</v>
      </c>
      <c r="D24" s="2" t="s">
        <v>247</v>
      </c>
      <c r="E24" s="2" t="s">
        <v>23</v>
      </c>
      <c r="F24" s="2" t="s">
        <v>248</v>
      </c>
      <c r="G24" s="5" t="s">
        <v>25</v>
      </c>
    </row>
    <row r="25" customFormat="false" ht="15" hidden="false" customHeight="false" outlineLevel="0" collapsed="false">
      <c r="A25" s="4" t="n">
        <v>24</v>
      </c>
      <c r="B25" s="4" t="s">
        <v>249</v>
      </c>
      <c r="C25" s="4" t="s">
        <v>179</v>
      </c>
      <c r="D25" s="4" t="s">
        <v>250</v>
      </c>
      <c r="E25" s="4" t="s">
        <v>23</v>
      </c>
      <c r="F25" s="4" t="s">
        <v>251</v>
      </c>
      <c r="G25" s="5" t="s">
        <v>25</v>
      </c>
    </row>
    <row r="26" customFormat="false" ht="15" hidden="false" customHeight="false" outlineLevel="0" collapsed="false">
      <c r="A26" s="2" t="n">
        <v>25</v>
      </c>
      <c r="B26" s="2" t="s">
        <v>252</v>
      </c>
      <c r="C26" s="2" t="s">
        <v>179</v>
      </c>
      <c r="D26" s="2" t="s">
        <v>253</v>
      </c>
      <c r="E26" s="2" t="s">
        <v>23</v>
      </c>
      <c r="F26" s="2" t="s">
        <v>254</v>
      </c>
      <c r="G26" s="5" t="s">
        <v>25</v>
      </c>
    </row>
    <row r="27" customFormat="false" ht="15" hidden="false" customHeight="false" outlineLevel="0" collapsed="false">
      <c r="A27" s="4" t="n">
        <v>26</v>
      </c>
      <c r="B27" s="4" t="s">
        <v>255</v>
      </c>
      <c r="C27" s="4" t="s">
        <v>179</v>
      </c>
      <c r="D27" s="4" t="s">
        <v>256</v>
      </c>
      <c r="E27" s="4" t="s">
        <v>23</v>
      </c>
      <c r="F27" s="4" t="s">
        <v>257</v>
      </c>
      <c r="G27" s="5" t="s">
        <v>25</v>
      </c>
    </row>
    <row r="28" customFormat="false" ht="15" hidden="false" customHeight="false" outlineLevel="0" collapsed="false">
      <c r="A28" s="2" t="n">
        <v>27</v>
      </c>
      <c r="B28" s="2" t="s">
        <v>258</v>
      </c>
      <c r="C28" s="2" t="s">
        <v>207</v>
      </c>
      <c r="D28" s="2" t="s">
        <v>259</v>
      </c>
      <c r="E28" s="2" t="s">
        <v>23</v>
      </c>
      <c r="F28" s="2" t="s">
        <v>260</v>
      </c>
      <c r="G28" s="3" t="s">
        <v>11</v>
      </c>
    </row>
    <row r="29" customFormat="false" ht="15" hidden="false" customHeight="false" outlineLevel="0" collapsed="false">
      <c r="A29" s="4" t="n">
        <v>28</v>
      </c>
      <c r="B29" s="4" t="s">
        <v>261</v>
      </c>
      <c r="C29" s="4" t="s">
        <v>207</v>
      </c>
      <c r="D29" s="4" t="s">
        <v>262</v>
      </c>
      <c r="E29" s="4" t="s">
        <v>23</v>
      </c>
      <c r="F29" s="4" t="s">
        <v>263</v>
      </c>
      <c r="G29" s="3" t="s">
        <v>11</v>
      </c>
    </row>
    <row r="30" customFormat="false" ht="15" hidden="false" customHeight="false" outlineLevel="0" collapsed="false">
      <c r="A30" s="2" t="n">
        <v>29</v>
      </c>
      <c r="B30" s="2" t="s">
        <v>264</v>
      </c>
      <c r="C30" s="2" t="s">
        <v>179</v>
      </c>
      <c r="D30" s="2" t="s">
        <v>265</v>
      </c>
      <c r="E30" s="2" t="s">
        <v>23</v>
      </c>
      <c r="F30" s="2" t="s">
        <v>266</v>
      </c>
      <c r="G30" s="5" t="s">
        <v>25</v>
      </c>
    </row>
    <row r="31" customFormat="false" ht="15" hidden="false" customHeight="false" outlineLevel="0" collapsed="false">
      <c r="A31" s="4" t="n">
        <v>30</v>
      </c>
      <c r="B31" s="4" t="s">
        <v>267</v>
      </c>
      <c r="C31" s="4" t="s">
        <v>207</v>
      </c>
      <c r="D31" s="4" t="s">
        <v>268</v>
      </c>
      <c r="E31" s="4" t="s">
        <v>23</v>
      </c>
      <c r="F31" s="4" t="s">
        <v>269</v>
      </c>
      <c r="G31" s="3" t="s">
        <v>11</v>
      </c>
    </row>
    <row r="32" customFormat="false" ht="15" hidden="false" customHeight="false" outlineLevel="0" collapsed="false">
      <c r="A32" s="2" t="n">
        <v>31</v>
      </c>
      <c r="B32" s="2" t="s">
        <v>267</v>
      </c>
      <c r="C32" s="2" t="s">
        <v>179</v>
      </c>
      <c r="D32" s="2" t="s">
        <v>270</v>
      </c>
      <c r="E32" s="2" t="s">
        <v>23</v>
      </c>
      <c r="F32" s="2" t="s">
        <v>271</v>
      </c>
      <c r="G32" s="3" t="s">
        <v>11</v>
      </c>
    </row>
    <row r="33" customFormat="false" ht="15" hidden="false" customHeight="false" outlineLevel="0" collapsed="false">
      <c r="A33" s="4" t="n">
        <v>32</v>
      </c>
      <c r="B33" s="4" t="s">
        <v>272</v>
      </c>
      <c r="C33" s="4" t="s">
        <v>222</v>
      </c>
      <c r="D33" s="4" t="s">
        <v>273</v>
      </c>
      <c r="E33" s="4" t="s">
        <v>23</v>
      </c>
      <c r="F33" s="4" t="s">
        <v>274</v>
      </c>
      <c r="G33" s="3" t="s">
        <v>11</v>
      </c>
    </row>
    <row r="34" customFormat="false" ht="15" hidden="false" customHeight="false" outlineLevel="0" collapsed="false">
      <c r="A34" s="2" t="n">
        <v>33</v>
      </c>
      <c r="B34" s="2" t="s">
        <v>275</v>
      </c>
      <c r="C34" s="2" t="s">
        <v>179</v>
      </c>
      <c r="D34" s="2" t="s">
        <v>276</v>
      </c>
      <c r="E34" s="2" t="s">
        <v>23</v>
      </c>
      <c r="F34" s="2" t="s">
        <v>277</v>
      </c>
      <c r="G34" s="5" t="s">
        <v>25</v>
      </c>
    </row>
    <row r="35" customFormat="false" ht="15" hidden="false" customHeight="false" outlineLevel="0" collapsed="false">
      <c r="A35" s="4" t="n">
        <v>34</v>
      </c>
      <c r="B35" s="4" t="s">
        <v>278</v>
      </c>
      <c r="C35" s="4" t="s">
        <v>179</v>
      </c>
      <c r="D35" s="4" t="s">
        <v>279</v>
      </c>
      <c r="E35" s="4" t="s">
        <v>23</v>
      </c>
      <c r="F35" s="4" t="s">
        <v>280</v>
      </c>
      <c r="G35" s="5" t="s">
        <v>25</v>
      </c>
    </row>
    <row r="36" customFormat="false" ht="15" hidden="false" customHeight="false" outlineLevel="0" collapsed="false">
      <c r="A36" s="2" t="n">
        <v>35</v>
      </c>
      <c r="B36" s="2" t="s">
        <v>281</v>
      </c>
      <c r="C36" s="2" t="s">
        <v>207</v>
      </c>
      <c r="D36" s="2" t="s">
        <v>282</v>
      </c>
      <c r="E36" s="2" t="s">
        <v>23</v>
      </c>
      <c r="F36" s="2" t="s">
        <v>283</v>
      </c>
      <c r="G36" s="3" t="s">
        <v>11</v>
      </c>
    </row>
    <row r="37" customFormat="false" ht="15" hidden="false" customHeight="false" outlineLevel="0" collapsed="false">
      <c r="A37" s="4" t="n">
        <v>36</v>
      </c>
      <c r="B37" s="4" t="s">
        <v>284</v>
      </c>
      <c r="C37" s="4" t="s">
        <v>207</v>
      </c>
      <c r="D37" s="4" t="s">
        <v>238</v>
      </c>
      <c r="E37" s="4" t="s">
        <v>23</v>
      </c>
      <c r="F37" s="4" t="s">
        <v>285</v>
      </c>
      <c r="G37" s="3" t="s">
        <v>11</v>
      </c>
    </row>
    <row r="38" customFormat="false" ht="15" hidden="false" customHeight="false" outlineLevel="0" collapsed="false">
      <c r="A38" s="2" t="n">
        <v>37</v>
      </c>
      <c r="B38" s="2" t="s">
        <v>286</v>
      </c>
      <c r="C38" s="2" t="s">
        <v>179</v>
      </c>
      <c r="D38" s="2" t="s">
        <v>287</v>
      </c>
      <c r="E38" s="2" t="s">
        <v>20</v>
      </c>
      <c r="F38" s="2" t="s">
        <v>288</v>
      </c>
      <c r="G38" s="3" t="s">
        <v>11</v>
      </c>
    </row>
    <row r="39" customFormat="false" ht="15" hidden="false" customHeight="false" outlineLevel="0" collapsed="false">
      <c r="A39" s="4" t="n">
        <v>38</v>
      </c>
      <c r="B39" s="4" t="s">
        <v>286</v>
      </c>
      <c r="C39" s="4" t="s">
        <v>207</v>
      </c>
      <c r="D39" s="4" t="s">
        <v>289</v>
      </c>
      <c r="E39" s="4" t="s">
        <v>20</v>
      </c>
      <c r="F39" s="4" t="s">
        <v>290</v>
      </c>
      <c r="G39" s="3" t="s">
        <v>11</v>
      </c>
    </row>
    <row r="40" customFormat="false" ht="15" hidden="false" customHeight="false" outlineLevel="0" collapsed="false">
      <c r="A40" s="2" t="n">
        <v>39</v>
      </c>
      <c r="B40" s="2" t="s">
        <v>291</v>
      </c>
      <c r="C40" s="2" t="s">
        <v>207</v>
      </c>
      <c r="D40" s="2" t="s">
        <v>292</v>
      </c>
      <c r="E40" s="2" t="s">
        <v>20</v>
      </c>
      <c r="F40" s="2" t="s">
        <v>293</v>
      </c>
      <c r="G40" s="3" t="s">
        <v>11</v>
      </c>
    </row>
    <row r="41" customFormat="false" ht="15" hidden="false" customHeight="false" outlineLevel="0" collapsed="false">
      <c r="A41" s="4" t="n">
        <v>40</v>
      </c>
      <c r="B41" s="4" t="s">
        <v>294</v>
      </c>
      <c r="C41" s="4" t="s">
        <v>207</v>
      </c>
      <c r="D41" s="4" t="s">
        <v>295</v>
      </c>
      <c r="E41" s="4" t="s">
        <v>20</v>
      </c>
      <c r="F41" s="4" t="s">
        <v>296</v>
      </c>
      <c r="G41" s="3" t="s">
        <v>11</v>
      </c>
    </row>
    <row r="42" customFormat="false" ht="15" hidden="false" customHeight="false" outlineLevel="0" collapsed="false">
      <c r="A42" s="2" t="n">
        <v>41</v>
      </c>
      <c r="B42" s="2" t="s">
        <v>297</v>
      </c>
      <c r="C42" s="2" t="s">
        <v>179</v>
      </c>
      <c r="D42" s="2" t="s">
        <v>298</v>
      </c>
      <c r="E42" s="2" t="s">
        <v>20</v>
      </c>
      <c r="F42" s="2" t="s">
        <v>299</v>
      </c>
      <c r="G42" s="3" t="s">
        <v>11</v>
      </c>
    </row>
    <row r="43" customFormat="false" ht="15" hidden="false" customHeight="false" outlineLevel="0" collapsed="false">
      <c r="A43" s="4" t="n">
        <v>42</v>
      </c>
      <c r="B43" s="4" t="s">
        <v>300</v>
      </c>
      <c r="C43" s="4" t="s">
        <v>207</v>
      </c>
      <c r="D43" s="4" t="s">
        <v>301</v>
      </c>
      <c r="E43" s="4" t="s">
        <v>20</v>
      </c>
      <c r="F43" s="4" t="s">
        <v>302</v>
      </c>
      <c r="G43" s="3" t="s">
        <v>11</v>
      </c>
    </row>
    <row r="44" customFormat="false" ht="15" hidden="false" customHeight="false" outlineLevel="0" collapsed="false">
      <c r="A44" s="2" t="n">
        <v>43</v>
      </c>
      <c r="B44" s="2" t="s">
        <v>303</v>
      </c>
      <c r="C44" s="2" t="s">
        <v>207</v>
      </c>
      <c r="D44" s="2" t="s">
        <v>304</v>
      </c>
      <c r="E44" s="2" t="s">
        <v>20</v>
      </c>
      <c r="F44" s="2" t="s">
        <v>305</v>
      </c>
      <c r="G44" s="3" t="s">
        <v>11</v>
      </c>
    </row>
    <row r="45" customFormat="false" ht="15" hidden="false" customHeight="false" outlineLevel="0" collapsed="false">
      <c r="A45" s="4" t="n">
        <v>44</v>
      </c>
      <c r="B45" s="4" t="s">
        <v>306</v>
      </c>
      <c r="C45" s="4" t="s">
        <v>207</v>
      </c>
      <c r="D45" s="4" t="s">
        <v>307</v>
      </c>
      <c r="E45" s="4" t="s">
        <v>20</v>
      </c>
      <c r="F45" s="4" t="s">
        <v>308</v>
      </c>
      <c r="G45" s="3" t="s">
        <v>11</v>
      </c>
    </row>
    <row r="46" customFormat="false" ht="15" hidden="false" customHeight="false" outlineLevel="0" collapsed="false">
      <c r="A46" s="2" t="n">
        <v>45</v>
      </c>
      <c r="B46" s="2" t="s">
        <v>309</v>
      </c>
      <c r="C46" s="2" t="s">
        <v>179</v>
      </c>
      <c r="D46" s="2" t="s">
        <v>310</v>
      </c>
      <c r="E46" s="2" t="s">
        <v>20</v>
      </c>
      <c r="F46" s="2" t="s">
        <v>311</v>
      </c>
      <c r="G46" s="3" t="s">
        <v>11</v>
      </c>
    </row>
    <row r="47" customFormat="false" ht="15" hidden="false" customHeight="false" outlineLevel="0" collapsed="false">
      <c r="A47" s="4" t="n">
        <v>46</v>
      </c>
      <c r="B47" s="4" t="s">
        <v>312</v>
      </c>
      <c r="C47" s="4" t="s">
        <v>179</v>
      </c>
      <c r="D47" s="4" t="s">
        <v>313</v>
      </c>
      <c r="E47" s="4" t="s">
        <v>20</v>
      </c>
      <c r="F47" s="4" t="s">
        <v>314</v>
      </c>
      <c r="G47" s="3" t="s">
        <v>11</v>
      </c>
    </row>
    <row r="48" customFormat="false" ht="15" hidden="false" customHeight="false" outlineLevel="0" collapsed="false">
      <c r="A48" s="2" t="n">
        <v>47</v>
      </c>
      <c r="B48" s="2" t="s">
        <v>315</v>
      </c>
      <c r="C48" s="2" t="s">
        <v>207</v>
      </c>
      <c r="D48" s="2" t="s">
        <v>316</v>
      </c>
      <c r="E48" s="2" t="s">
        <v>20</v>
      </c>
      <c r="F48" s="2" t="s">
        <v>317</v>
      </c>
      <c r="G48" s="3" t="s">
        <v>11</v>
      </c>
    </row>
    <row r="49" customFormat="false" ht="15" hidden="false" customHeight="false" outlineLevel="0" collapsed="false">
      <c r="A49" s="4" t="n">
        <v>48</v>
      </c>
      <c r="B49" s="4" t="s">
        <v>318</v>
      </c>
      <c r="C49" s="4" t="s">
        <v>179</v>
      </c>
      <c r="D49" s="4" t="s">
        <v>319</v>
      </c>
      <c r="E49" s="4" t="s">
        <v>20</v>
      </c>
      <c r="F49" s="4" t="s">
        <v>320</v>
      </c>
      <c r="G49" s="3" t="s">
        <v>11</v>
      </c>
    </row>
    <row r="50" customFormat="false" ht="15" hidden="false" customHeight="false" outlineLevel="0" collapsed="false">
      <c r="A50" s="2" t="n">
        <v>49</v>
      </c>
      <c r="B50" s="2" t="s">
        <v>321</v>
      </c>
      <c r="C50" s="2" t="s">
        <v>207</v>
      </c>
      <c r="D50" s="2" t="s">
        <v>322</v>
      </c>
      <c r="E50" s="2" t="s">
        <v>17</v>
      </c>
      <c r="F50" s="2" t="s">
        <v>323</v>
      </c>
      <c r="G50" s="3" t="s">
        <v>11</v>
      </c>
    </row>
    <row r="51" customFormat="false" ht="15" hidden="false" customHeight="false" outlineLevel="0" collapsed="false">
      <c r="A51" s="4" t="n">
        <v>50</v>
      </c>
      <c r="B51" s="4" t="s">
        <v>324</v>
      </c>
      <c r="C51" s="4" t="s">
        <v>207</v>
      </c>
      <c r="D51" s="4" t="s">
        <v>325</v>
      </c>
      <c r="E51" s="4" t="s">
        <v>17</v>
      </c>
      <c r="F51" s="4" t="s">
        <v>326</v>
      </c>
      <c r="G51" s="3" t="s">
        <v>11</v>
      </c>
    </row>
    <row r="52" customFormat="false" ht="15" hidden="false" customHeight="false" outlineLevel="0" collapsed="false">
      <c r="A52" s="2" t="n">
        <v>51</v>
      </c>
      <c r="B52" s="2" t="s">
        <v>327</v>
      </c>
      <c r="C52" s="2" t="s">
        <v>207</v>
      </c>
      <c r="D52" s="2" t="s">
        <v>328</v>
      </c>
      <c r="E52" s="2" t="s">
        <v>17</v>
      </c>
      <c r="F52" s="2" t="s">
        <v>329</v>
      </c>
      <c r="G52" s="3" t="s">
        <v>11</v>
      </c>
    </row>
    <row r="53" customFormat="false" ht="15" hidden="false" customHeight="false" outlineLevel="0" collapsed="false">
      <c r="A53" s="4" t="n">
        <v>52</v>
      </c>
      <c r="B53" s="4" t="s">
        <v>330</v>
      </c>
      <c r="C53" s="4" t="s">
        <v>207</v>
      </c>
      <c r="D53" s="4" t="s">
        <v>331</v>
      </c>
      <c r="E53" s="4" t="s">
        <v>17</v>
      </c>
      <c r="F53" s="4" t="s">
        <v>332</v>
      </c>
      <c r="G53" s="3" t="s">
        <v>11</v>
      </c>
    </row>
    <row r="54" customFormat="false" ht="15" hidden="false" customHeight="false" outlineLevel="0" collapsed="false">
      <c r="A54" s="2" t="n">
        <v>53</v>
      </c>
      <c r="B54" s="2" t="s">
        <v>333</v>
      </c>
      <c r="C54" s="2" t="s">
        <v>207</v>
      </c>
      <c r="D54" s="2" t="s">
        <v>334</v>
      </c>
      <c r="E54" s="2" t="s">
        <v>17</v>
      </c>
      <c r="F54" s="2" t="s">
        <v>335</v>
      </c>
      <c r="G54" s="3" t="s">
        <v>11</v>
      </c>
    </row>
    <row r="55" customFormat="false" ht="15" hidden="false" customHeight="false" outlineLevel="0" collapsed="false">
      <c r="A55" s="4" t="n">
        <v>54</v>
      </c>
      <c r="B55" s="4" t="s">
        <v>336</v>
      </c>
      <c r="C55" s="4" t="s">
        <v>207</v>
      </c>
      <c r="D55" s="4" t="s">
        <v>337</v>
      </c>
      <c r="E55" s="4" t="s">
        <v>17</v>
      </c>
      <c r="F55" s="4" t="s">
        <v>338</v>
      </c>
      <c r="G55" s="3" t="s">
        <v>11</v>
      </c>
    </row>
    <row r="56" customFormat="false" ht="15" hidden="false" customHeight="false" outlineLevel="0" collapsed="false">
      <c r="A56" s="2" t="n">
        <v>55</v>
      </c>
      <c r="B56" s="2" t="s">
        <v>339</v>
      </c>
      <c r="C56" s="2" t="s">
        <v>207</v>
      </c>
      <c r="D56" s="2" t="s">
        <v>340</v>
      </c>
      <c r="E56" s="2" t="s">
        <v>17</v>
      </c>
      <c r="F56" s="2" t="s">
        <v>341</v>
      </c>
      <c r="G56" s="3" t="s">
        <v>11</v>
      </c>
    </row>
    <row r="57" customFormat="false" ht="15" hidden="false" customHeight="false" outlineLevel="0" collapsed="false">
      <c r="A57" s="4" t="n">
        <v>56</v>
      </c>
      <c r="B57" s="4" t="s">
        <v>342</v>
      </c>
      <c r="C57" s="4" t="s">
        <v>207</v>
      </c>
      <c r="D57" s="4" t="s">
        <v>343</v>
      </c>
      <c r="E57" s="4" t="s">
        <v>73</v>
      </c>
      <c r="F57" s="4" t="s">
        <v>344</v>
      </c>
      <c r="G57" s="3" t="s">
        <v>11</v>
      </c>
    </row>
    <row r="58" customFormat="false" ht="15" hidden="false" customHeight="false" outlineLevel="0" collapsed="false">
      <c r="A58" s="2" t="n">
        <v>57</v>
      </c>
      <c r="B58" s="2" t="s">
        <v>345</v>
      </c>
      <c r="C58" s="2" t="s">
        <v>207</v>
      </c>
      <c r="D58" s="2" t="s">
        <v>346</v>
      </c>
      <c r="E58" s="2" t="s">
        <v>73</v>
      </c>
      <c r="F58" s="2" t="s">
        <v>347</v>
      </c>
      <c r="G58" s="3" t="s">
        <v>11</v>
      </c>
    </row>
    <row r="59" customFormat="false" ht="15" hidden="false" customHeight="false" outlineLevel="0" collapsed="false">
      <c r="A59" s="4" t="n">
        <v>58</v>
      </c>
      <c r="B59" s="4" t="s">
        <v>348</v>
      </c>
      <c r="C59" s="4" t="s">
        <v>207</v>
      </c>
      <c r="D59" s="4" t="s">
        <v>349</v>
      </c>
      <c r="E59" s="4" t="s">
        <v>73</v>
      </c>
      <c r="F59" s="4" t="s">
        <v>350</v>
      </c>
      <c r="G59" s="3" t="s">
        <v>11</v>
      </c>
    </row>
    <row r="60" customFormat="false" ht="15" hidden="false" customHeight="false" outlineLevel="0" collapsed="false">
      <c r="A60" s="2" t="n">
        <v>59</v>
      </c>
      <c r="B60" s="2" t="s">
        <v>351</v>
      </c>
      <c r="C60" s="2" t="s">
        <v>207</v>
      </c>
      <c r="D60" s="2" t="s">
        <v>352</v>
      </c>
      <c r="E60" s="2" t="s">
        <v>79</v>
      </c>
      <c r="F60" s="2" t="s">
        <v>353</v>
      </c>
      <c r="G60" s="3" t="s">
        <v>11</v>
      </c>
    </row>
    <row r="61" customFormat="false" ht="15" hidden="false" customHeight="false" outlineLevel="0" collapsed="false">
      <c r="A61" s="4" t="n">
        <v>60</v>
      </c>
      <c r="B61" s="4" t="s">
        <v>354</v>
      </c>
      <c r="C61" s="4" t="s">
        <v>207</v>
      </c>
      <c r="D61" s="4" t="s">
        <v>355</v>
      </c>
      <c r="E61" s="4" t="s">
        <v>79</v>
      </c>
      <c r="F61" s="4" t="s">
        <v>356</v>
      </c>
      <c r="G61" s="3" t="s">
        <v>11</v>
      </c>
    </row>
    <row r="62" customFormat="false" ht="15" hidden="false" customHeight="false" outlineLevel="0" collapsed="false">
      <c r="A62" s="2" t="n">
        <v>61</v>
      </c>
      <c r="B62" s="2" t="s">
        <v>357</v>
      </c>
      <c r="C62" s="2" t="s">
        <v>179</v>
      </c>
      <c r="D62" s="2" t="s">
        <v>358</v>
      </c>
      <c r="E62" s="2" t="s">
        <v>79</v>
      </c>
      <c r="F62" s="2" t="s">
        <v>359</v>
      </c>
      <c r="G62" s="3" t="s">
        <v>11</v>
      </c>
    </row>
    <row r="63" customFormat="false" ht="15" hidden="false" customHeight="false" outlineLevel="0" collapsed="false">
      <c r="A63" s="4" t="n">
        <v>62</v>
      </c>
      <c r="B63" s="4" t="s">
        <v>360</v>
      </c>
      <c r="C63" s="4" t="s">
        <v>222</v>
      </c>
      <c r="D63" s="4" t="s">
        <v>361</v>
      </c>
      <c r="E63" s="4" t="s">
        <v>79</v>
      </c>
      <c r="F63" s="4" t="s">
        <v>362</v>
      </c>
      <c r="G63" s="3" t="s">
        <v>11</v>
      </c>
    </row>
    <row r="64" customFormat="false" ht="15" hidden="false" customHeight="false" outlineLevel="0" collapsed="false">
      <c r="A64" s="2" t="n">
        <v>63</v>
      </c>
      <c r="B64" s="2" t="s">
        <v>363</v>
      </c>
      <c r="C64" s="2" t="s">
        <v>179</v>
      </c>
      <c r="D64" s="2" t="s">
        <v>364</v>
      </c>
      <c r="E64" s="2" t="s">
        <v>82</v>
      </c>
      <c r="F64" s="2" t="s">
        <v>365</v>
      </c>
      <c r="G64" s="3" t="s">
        <v>11</v>
      </c>
    </row>
    <row r="65" customFormat="false" ht="15" hidden="false" customHeight="false" outlineLevel="0" collapsed="false">
      <c r="A65" s="4" t="n">
        <v>64</v>
      </c>
      <c r="B65" s="4" t="s">
        <v>363</v>
      </c>
      <c r="C65" s="4" t="s">
        <v>207</v>
      </c>
      <c r="D65" s="4" t="s">
        <v>366</v>
      </c>
      <c r="E65" s="4" t="s">
        <v>82</v>
      </c>
      <c r="F65" s="4" t="s">
        <v>367</v>
      </c>
      <c r="G65" s="3" t="s">
        <v>11</v>
      </c>
    </row>
    <row r="66" customFormat="false" ht="15" hidden="false" customHeight="false" outlineLevel="0" collapsed="false">
      <c r="A66" s="2" t="n">
        <v>65</v>
      </c>
      <c r="B66" s="2" t="s">
        <v>368</v>
      </c>
      <c r="C66" s="2" t="s">
        <v>369</v>
      </c>
      <c r="D66" s="2" t="s">
        <v>370</v>
      </c>
      <c r="E66" s="2" t="s">
        <v>82</v>
      </c>
      <c r="F66" s="2" t="s">
        <v>371</v>
      </c>
      <c r="G66" s="3" t="s">
        <v>11</v>
      </c>
    </row>
    <row r="67" customFormat="false" ht="15" hidden="false" customHeight="false" outlineLevel="0" collapsed="false">
      <c r="A67" s="4" t="n">
        <v>66</v>
      </c>
      <c r="B67" s="4" t="s">
        <v>368</v>
      </c>
      <c r="C67" s="4" t="s">
        <v>222</v>
      </c>
      <c r="D67" s="4" t="s">
        <v>372</v>
      </c>
      <c r="E67" s="4" t="s">
        <v>82</v>
      </c>
      <c r="F67" s="4" t="s">
        <v>373</v>
      </c>
      <c r="G67" s="3" t="s">
        <v>11</v>
      </c>
    </row>
    <row r="68" customFormat="false" ht="15" hidden="false" customHeight="false" outlineLevel="0" collapsed="false">
      <c r="A68" s="2" t="n">
        <v>67</v>
      </c>
      <c r="B68" s="2" t="s">
        <v>374</v>
      </c>
      <c r="C68" s="2" t="s">
        <v>179</v>
      </c>
      <c r="D68" s="2" t="s">
        <v>375</v>
      </c>
      <c r="E68" s="2" t="s">
        <v>82</v>
      </c>
      <c r="F68" s="2" t="s">
        <v>376</v>
      </c>
      <c r="G68" s="3" t="s">
        <v>11</v>
      </c>
    </row>
    <row r="69" customFormat="false" ht="15" hidden="false" customHeight="false" outlineLevel="0" collapsed="false">
      <c r="A69" s="4" t="n">
        <v>68</v>
      </c>
      <c r="B69" s="4" t="s">
        <v>377</v>
      </c>
      <c r="C69" s="4" t="s">
        <v>207</v>
      </c>
      <c r="D69" s="4" t="s">
        <v>378</v>
      </c>
      <c r="E69" s="4" t="s">
        <v>100</v>
      </c>
      <c r="F69" s="4" t="s">
        <v>379</v>
      </c>
      <c r="G69" s="3" t="s">
        <v>11</v>
      </c>
    </row>
    <row r="70" customFormat="false" ht="15" hidden="false" customHeight="false" outlineLevel="0" collapsed="false">
      <c r="A70" s="2" t="n">
        <v>69</v>
      </c>
      <c r="B70" s="2" t="s">
        <v>380</v>
      </c>
      <c r="C70" s="2" t="s">
        <v>207</v>
      </c>
      <c r="D70" s="2" t="s">
        <v>381</v>
      </c>
      <c r="E70" s="2" t="s">
        <v>100</v>
      </c>
      <c r="F70" s="2" t="s">
        <v>382</v>
      </c>
      <c r="G70" s="3" t="s">
        <v>11</v>
      </c>
    </row>
    <row r="71" customFormat="false" ht="15" hidden="false" customHeight="false" outlineLevel="0" collapsed="false">
      <c r="A71" s="4" t="n">
        <v>70</v>
      </c>
      <c r="B71" s="4" t="s">
        <v>383</v>
      </c>
      <c r="C71" s="4" t="s">
        <v>207</v>
      </c>
      <c r="D71" s="4" t="s">
        <v>384</v>
      </c>
      <c r="E71" s="4" t="s">
        <v>100</v>
      </c>
      <c r="F71" s="4" t="s">
        <v>385</v>
      </c>
      <c r="G71" s="3" t="s">
        <v>11</v>
      </c>
    </row>
    <row r="72" customFormat="false" ht="15" hidden="false" customHeight="false" outlineLevel="0" collapsed="false">
      <c r="A72" s="2" t="n">
        <v>71</v>
      </c>
      <c r="B72" s="2" t="s">
        <v>386</v>
      </c>
      <c r="C72" s="2" t="s">
        <v>179</v>
      </c>
      <c r="D72" s="2" t="s">
        <v>387</v>
      </c>
      <c r="E72" s="2" t="s">
        <v>121</v>
      </c>
      <c r="F72" s="2" t="s">
        <v>388</v>
      </c>
      <c r="G72" s="3" t="s">
        <v>11</v>
      </c>
    </row>
    <row r="73" customFormat="false" ht="15" hidden="false" customHeight="false" outlineLevel="0" collapsed="false">
      <c r="A73" s="4" t="n">
        <v>72</v>
      </c>
      <c r="B73" s="4" t="s">
        <v>386</v>
      </c>
      <c r="C73" s="4" t="s">
        <v>207</v>
      </c>
      <c r="D73" s="4" t="s">
        <v>389</v>
      </c>
      <c r="E73" s="4" t="s">
        <v>121</v>
      </c>
      <c r="F73" s="4" t="s">
        <v>390</v>
      </c>
      <c r="G73" s="3" t="s">
        <v>11</v>
      </c>
    </row>
    <row r="74" customFormat="false" ht="15" hidden="false" customHeight="false" outlineLevel="0" collapsed="false">
      <c r="A74" s="2" t="n">
        <v>73</v>
      </c>
      <c r="B74" s="2" t="s">
        <v>391</v>
      </c>
      <c r="C74" s="2" t="s">
        <v>222</v>
      </c>
      <c r="D74" s="2" t="s">
        <v>392</v>
      </c>
      <c r="E74" s="2" t="s">
        <v>121</v>
      </c>
      <c r="F74" s="2" t="s">
        <v>393</v>
      </c>
      <c r="G74" s="3" t="s">
        <v>11</v>
      </c>
    </row>
    <row r="75" customFormat="false" ht="15" hidden="false" customHeight="false" outlineLevel="0" collapsed="false">
      <c r="A75" s="4" t="n">
        <v>74</v>
      </c>
      <c r="B75" s="4" t="s">
        <v>394</v>
      </c>
      <c r="C75" s="4" t="s">
        <v>179</v>
      </c>
      <c r="D75" s="4" t="s">
        <v>395</v>
      </c>
      <c r="E75" s="4" t="s">
        <v>121</v>
      </c>
      <c r="F75" s="4" t="s">
        <v>396</v>
      </c>
      <c r="G75" s="3" t="s">
        <v>11</v>
      </c>
    </row>
    <row r="76" customFormat="false" ht="15" hidden="false" customHeight="false" outlineLevel="0" collapsed="false">
      <c r="A76" s="6" t="s">
        <v>171</v>
      </c>
      <c r="B76" s="6" t="str">
        <f aca="false">COUNTA(B2:B75)&amp;" endpoint"</f>
        <v>74 endpoint</v>
      </c>
      <c r="C76" s="6" t="str">
        <f aca="false">COUNTIF(C2:C75,"GET")&amp;" GET, "&amp;COUNTIF(C2:C75,"POST")&amp;" POST, "&amp;COUNTIF(C2:C75,"PUT")&amp;" PUT, "&amp;COUNTIF(C2:C75,"DELETE")&amp;" DELETE"</f>
        <v>40 GET, 28 POST, 1 PUT, 5 DELETE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6</v>
      </c>
    </row>
    <row r="2" customFormat="false" ht="35.05" hidden="false" customHeight="false" outlineLevel="0" collapsed="false">
      <c r="A2" s="2" t="s">
        <v>402</v>
      </c>
      <c r="B2" s="2" t="s">
        <v>403</v>
      </c>
      <c r="C2" s="3" t="s">
        <v>404</v>
      </c>
      <c r="D2" s="2" t="s">
        <v>405</v>
      </c>
      <c r="E2" s="3" t="s">
        <v>406</v>
      </c>
      <c r="F2" s="3" t="s">
        <v>10</v>
      </c>
    </row>
    <row r="3" customFormat="false" ht="15" hidden="false" customHeight="false" outlineLevel="0" collapsed="false">
      <c r="A3" s="4" t="s">
        <v>407</v>
      </c>
      <c r="B3" s="4" t="s">
        <v>408</v>
      </c>
      <c r="C3" s="3" t="s">
        <v>404</v>
      </c>
      <c r="D3" s="4" t="s">
        <v>409</v>
      </c>
      <c r="E3" s="3" t="s">
        <v>406</v>
      </c>
      <c r="F3" s="3" t="s">
        <v>10</v>
      </c>
    </row>
    <row r="4" customFormat="false" ht="23.85" hidden="false" customHeight="false" outlineLevel="0" collapsed="false">
      <c r="A4" s="2" t="s">
        <v>410</v>
      </c>
      <c r="B4" s="2" t="s">
        <v>411</v>
      </c>
      <c r="C4" s="3" t="s">
        <v>404</v>
      </c>
      <c r="D4" s="2" t="s">
        <v>412</v>
      </c>
      <c r="E4" s="3" t="s">
        <v>406</v>
      </c>
      <c r="F4" s="3" t="s">
        <v>10</v>
      </c>
    </row>
    <row r="5" customFormat="false" ht="15" hidden="false" customHeight="false" outlineLevel="0" collapsed="false">
      <c r="A5" s="4" t="s">
        <v>413</v>
      </c>
      <c r="B5" s="4" t="s">
        <v>408</v>
      </c>
      <c r="C5" s="3" t="s">
        <v>404</v>
      </c>
      <c r="D5" s="4" t="s">
        <v>414</v>
      </c>
      <c r="E5" s="5" t="s">
        <v>415</v>
      </c>
      <c r="F5" s="5" t="s">
        <v>416</v>
      </c>
    </row>
    <row r="6" customFormat="false" ht="15" hidden="false" customHeight="false" outlineLevel="0" collapsed="false">
      <c r="A6" s="2" t="s">
        <v>417</v>
      </c>
      <c r="B6" s="2" t="s">
        <v>418</v>
      </c>
      <c r="C6" s="3" t="s">
        <v>404</v>
      </c>
      <c r="D6" s="2" t="s">
        <v>419</v>
      </c>
      <c r="E6" s="5" t="s">
        <v>415</v>
      </c>
      <c r="F6" s="5" t="s">
        <v>416</v>
      </c>
    </row>
    <row r="7" customFormat="false" ht="23.85" hidden="false" customHeight="false" outlineLevel="0" collapsed="false">
      <c r="A7" s="4" t="s">
        <v>420</v>
      </c>
      <c r="B7" s="4" t="s">
        <v>421</v>
      </c>
      <c r="C7" s="3" t="s">
        <v>404</v>
      </c>
      <c r="D7" s="4" t="s">
        <v>422</v>
      </c>
      <c r="E7" s="7" t="s">
        <v>423</v>
      </c>
      <c r="F7" s="5" t="s">
        <v>424</v>
      </c>
    </row>
    <row r="8" customFormat="false" ht="23.85" hidden="false" customHeight="false" outlineLevel="0" collapsed="false">
      <c r="A8" s="2" t="s">
        <v>425</v>
      </c>
      <c r="B8" s="2" t="s">
        <v>426</v>
      </c>
      <c r="C8" s="3" t="s">
        <v>404</v>
      </c>
      <c r="D8" s="2" t="s">
        <v>427</v>
      </c>
      <c r="E8" s="3" t="s">
        <v>406</v>
      </c>
      <c r="F8" s="3" t="s">
        <v>10</v>
      </c>
    </row>
    <row r="9" customFormat="false" ht="23.85" hidden="false" customHeight="false" outlineLevel="0" collapsed="false">
      <c r="A9" s="4" t="s">
        <v>428</v>
      </c>
      <c r="B9" s="4" t="s">
        <v>429</v>
      </c>
      <c r="C9" s="3" t="s">
        <v>404</v>
      </c>
      <c r="D9" s="4" t="s">
        <v>430</v>
      </c>
      <c r="E9" s="3" t="s">
        <v>406</v>
      </c>
      <c r="F9" s="3" t="s">
        <v>10</v>
      </c>
    </row>
    <row r="10" customFormat="false" ht="15" hidden="false" customHeight="false" outlineLevel="0" collapsed="false">
      <c r="A10" s="2" t="s">
        <v>431</v>
      </c>
      <c r="B10" s="2" t="s">
        <v>432</v>
      </c>
      <c r="C10" s="3" t="s">
        <v>404</v>
      </c>
      <c r="D10" s="2" t="s">
        <v>433</v>
      </c>
      <c r="E10" s="5" t="s">
        <v>415</v>
      </c>
      <c r="F10" s="3" t="s">
        <v>10</v>
      </c>
    </row>
    <row r="11" customFormat="false" ht="15" hidden="false" customHeight="false" outlineLevel="0" collapsed="false">
      <c r="A11" s="4" t="s">
        <v>434</v>
      </c>
      <c r="B11" s="4" t="s">
        <v>435</v>
      </c>
      <c r="C11" s="3" t="s">
        <v>404</v>
      </c>
      <c r="D11" s="4" t="s">
        <v>436</v>
      </c>
      <c r="E11" s="3" t="s">
        <v>406</v>
      </c>
      <c r="F11" s="3" t="s">
        <v>10</v>
      </c>
    </row>
    <row r="12" customFormat="false" ht="15" hidden="false" customHeight="false" outlineLevel="0" collapsed="false">
      <c r="A12" s="2" t="s">
        <v>437</v>
      </c>
      <c r="B12" s="2" t="s">
        <v>438</v>
      </c>
      <c r="C12" s="3" t="s">
        <v>404</v>
      </c>
      <c r="D12" s="2" t="s">
        <v>439</v>
      </c>
      <c r="E12" s="3" t="s">
        <v>406</v>
      </c>
      <c r="F12" s="3" t="s">
        <v>10</v>
      </c>
    </row>
    <row r="13" customFormat="false" ht="15" hidden="false" customHeight="false" outlineLevel="0" collapsed="false">
      <c r="A13" s="4" t="s">
        <v>440</v>
      </c>
      <c r="B13" s="4" t="s">
        <v>426</v>
      </c>
      <c r="C13" s="3" t="s">
        <v>404</v>
      </c>
      <c r="D13" s="4" t="s">
        <v>441</v>
      </c>
      <c r="E13" s="3" t="s">
        <v>406</v>
      </c>
      <c r="F13" s="3" t="s">
        <v>10</v>
      </c>
    </row>
    <row r="14" customFormat="false" ht="15" hidden="false" customHeight="false" outlineLevel="0" collapsed="false">
      <c r="A14" s="2" t="s">
        <v>442</v>
      </c>
      <c r="B14" s="2" t="s">
        <v>443</v>
      </c>
      <c r="C14" s="3" t="s">
        <v>404</v>
      </c>
      <c r="D14" s="2" t="s">
        <v>444</v>
      </c>
      <c r="E14" s="3" t="s">
        <v>406</v>
      </c>
      <c r="F14" s="3" t="s">
        <v>10</v>
      </c>
    </row>
    <row r="15" customFormat="false" ht="15" hidden="false" customHeight="false" outlineLevel="0" collapsed="false">
      <c r="A15" s="4" t="s">
        <v>445</v>
      </c>
      <c r="B15" s="4" t="s">
        <v>446</v>
      </c>
      <c r="C15" s="3" t="s">
        <v>404</v>
      </c>
      <c r="D15" s="4" t="s">
        <v>447</v>
      </c>
      <c r="E15" s="3" t="s">
        <v>406</v>
      </c>
      <c r="F15" s="3" t="s">
        <v>10</v>
      </c>
    </row>
    <row r="16" customFormat="false" ht="15" hidden="false" customHeight="false" outlineLevel="0" collapsed="false">
      <c r="A16" s="2" t="s">
        <v>448</v>
      </c>
      <c r="B16" s="2" t="s">
        <v>449</v>
      </c>
      <c r="C16" s="3" t="s">
        <v>404</v>
      </c>
      <c r="D16" s="2" t="s">
        <v>450</v>
      </c>
      <c r="E16" s="3" t="s">
        <v>406</v>
      </c>
      <c r="F16" s="3" t="s">
        <v>10</v>
      </c>
    </row>
    <row r="17" customFormat="false" ht="15" hidden="false" customHeight="false" outlineLevel="0" collapsed="false">
      <c r="A17" s="4" t="s">
        <v>451</v>
      </c>
      <c r="B17" s="4" t="s">
        <v>452</v>
      </c>
      <c r="C17" s="3" t="s">
        <v>404</v>
      </c>
      <c r="D17" s="4" t="s">
        <v>453</v>
      </c>
      <c r="E17" s="3" t="s">
        <v>406</v>
      </c>
      <c r="F17" s="3" t="s">
        <v>10</v>
      </c>
    </row>
    <row r="18" customFormat="false" ht="23.85" hidden="false" customHeight="false" outlineLevel="0" collapsed="false">
      <c r="A18" s="2" t="s">
        <v>454</v>
      </c>
      <c r="B18" s="2" t="s">
        <v>455</v>
      </c>
      <c r="C18" s="3" t="s">
        <v>404</v>
      </c>
      <c r="D18" s="2" t="s">
        <v>456</v>
      </c>
      <c r="E18" s="7" t="s">
        <v>423</v>
      </c>
      <c r="F18" s="5" t="s">
        <v>457</v>
      </c>
    </row>
    <row r="19" customFormat="false" ht="35.05" hidden="false" customHeight="false" outlineLevel="0" collapsed="false">
      <c r="A19" s="4" t="s">
        <v>458</v>
      </c>
      <c r="B19" s="4" t="s">
        <v>459</v>
      </c>
      <c r="C19" s="7" t="s">
        <v>460</v>
      </c>
      <c r="D19" s="4" t="s">
        <v>461</v>
      </c>
      <c r="E19" s="3" t="s">
        <v>462</v>
      </c>
      <c r="F19" s="7" t="s">
        <v>463</v>
      </c>
    </row>
    <row r="20" customFormat="false" ht="23.85" hidden="false" customHeight="false" outlineLevel="0" collapsed="false">
      <c r="A20" s="2" t="s">
        <v>464</v>
      </c>
      <c r="B20" s="2" t="s">
        <v>459</v>
      </c>
      <c r="C20" s="7" t="s">
        <v>460</v>
      </c>
      <c r="D20" s="2" t="s">
        <v>465</v>
      </c>
      <c r="E20" s="5" t="s">
        <v>466</v>
      </c>
      <c r="F20" s="5" t="s">
        <v>467</v>
      </c>
    </row>
    <row r="21" customFormat="false" ht="23.85" hidden="false" customHeight="false" outlineLevel="0" collapsed="false">
      <c r="A21" s="4" t="s">
        <v>468</v>
      </c>
      <c r="B21" s="4" t="s">
        <v>459</v>
      </c>
      <c r="C21" s="7" t="s">
        <v>460</v>
      </c>
      <c r="D21" s="4" t="s">
        <v>465</v>
      </c>
      <c r="E21" s="5" t="s">
        <v>466</v>
      </c>
      <c r="F21" s="5" t="s">
        <v>467</v>
      </c>
    </row>
    <row r="22" customFormat="false" ht="35.05" hidden="false" customHeight="false" outlineLevel="0" collapsed="false">
      <c r="A22" s="2" t="s">
        <v>469</v>
      </c>
      <c r="B22" s="2" t="s">
        <v>459</v>
      </c>
      <c r="C22" s="7" t="s">
        <v>460</v>
      </c>
      <c r="D22" s="2" t="s">
        <v>470</v>
      </c>
      <c r="E22" s="3" t="s">
        <v>406</v>
      </c>
      <c r="F22" s="7" t="s">
        <v>463</v>
      </c>
    </row>
    <row r="23" customFormat="false" ht="15" hidden="false" customHeight="false" outlineLevel="0" collapsed="false">
      <c r="A23" s="4" t="s">
        <v>471</v>
      </c>
      <c r="B23" s="4" t="s">
        <v>459</v>
      </c>
      <c r="C23" s="7" t="s">
        <v>472</v>
      </c>
      <c r="D23" s="4" t="s">
        <v>473</v>
      </c>
      <c r="E23" s="3" t="s">
        <v>406</v>
      </c>
      <c r="F23" s="3" t="s">
        <v>474</v>
      </c>
    </row>
    <row r="24" customFormat="false" ht="15" hidden="false" customHeight="false" outlineLevel="0" collapsed="false">
      <c r="A24" s="6" t="s">
        <v>171</v>
      </c>
      <c r="C24" s="6" t="str">
        <f aca="false">COUNTIF(C2:C23,"*Var*")&amp;" tanımlı / "&amp;COUNTIF(C2:C23,"*Yok*")&amp;" eksik"</f>
        <v>17 tanımlı / 5 eksik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26.85" hidden="false" customHeight="false" outlineLevel="0" collapsed="false">
      <c r="A1" s="1" t="s">
        <v>475</v>
      </c>
      <c r="B1" s="1" t="s">
        <v>476</v>
      </c>
      <c r="C1" s="1" t="s">
        <v>477</v>
      </c>
      <c r="D1" s="1" t="s">
        <v>478</v>
      </c>
      <c r="E1" s="1" t="s">
        <v>7</v>
      </c>
    </row>
    <row r="2" customFormat="false" ht="15" hidden="false" customHeight="false" outlineLevel="0" collapsed="false">
      <c r="A2" s="2" t="s">
        <v>28</v>
      </c>
      <c r="B2" s="2" t="s">
        <v>136</v>
      </c>
      <c r="C2" s="2" t="n">
        <v>17</v>
      </c>
      <c r="D2" s="5" t="s">
        <v>416</v>
      </c>
      <c r="E2" s="2" t="s">
        <v>479</v>
      </c>
    </row>
    <row r="3" customFormat="false" ht="15" hidden="false" customHeight="false" outlineLevel="0" collapsed="false">
      <c r="A3" s="4" t="s">
        <v>76</v>
      </c>
      <c r="B3" s="4" t="s">
        <v>139</v>
      </c>
      <c r="C3" s="4" t="n">
        <v>9</v>
      </c>
      <c r="D3" s="5" t="s">
        <v>416</v>
      </c>
      <c r="E3" s="4" t="s">
        <v>480</v>
      </c>
    </row>
    <row r="4" customFormat="false" ht="15" hidden="false" customHeight="false" outlineLevel="0" collapsed="false">
      <c r="A4" s="2" t="s">
        <v>91</v>
      </c>
      <c r="B4" s="2" t="s">
        <v>154</v>
      </c>
      <c r="C4" s="2" t="n">
        <v>7</v>
      </c>
      <c r="D4" s="5" t="s">
        <v>416</v>
      </c>
      <c r="E4" s="2" t="s">
        <v>481</v>
      </c>
    </row>
    <row r="5" customFormat="false" ht="15" hidden="false" customHeight="false" outlineLevel="0" collapsed="false">
      <c r="A5" s="4" t="s">
        <v>112</v>
      </c>
      <c r="B5" s="4" t="s">
        <v>166</v>
      </c>
      <c r="C5" s="4" t="n">
        <v>14</v>
      </c>
      <c r="D5" s="3" t="s">
        <v>482</v>
      </c>
      <c r="E5" s="4" t="s">
        <v>483</v>
      </c>
    </row>
    <row r="6" customFormat="false" ht="15" hidden="false" customHeight="false" outlineLevel="0" collapsed="false">
      <c r="A6" s="2" t="s">
        <v>106</v>
      </c>
      <c r="B6" s="2" t="s">
        <v>160</v>
      </c>
      <c r="C6" s="2" t="n">
        <v>7</v>
      </c>
      <c r="D6" s="5" t="s">
        <v>416</v>
      </c>
      <c r="E6" s="2" t="s">
        <v>484</v>
      </c>
    </row>
    <row r="7" customFormat="false" ht="15" hidden="false" customHeight="false" outlineLevel="0" collapsed="false">
      <c r="A7" s="4" t="s">
        <v>109</v>
      </c>
      <c r="B7" s="4" t="s">
        <v>163</v>
      </c>
      <c r="C7" s="4" t="n">
        <v>10</v>
      </c>
      <c r="D7" s="5" t="s">
        <v>416</v>
      </c>
      <c r="E7" s="4" t="s">
        <v>485</v>
      </c>
    </row>
    <row r="8" customFormat="false" ht="15" hidden="false" customHeight="false" outlineLevel="0" collapsed="false">
      <c r="A8" s="2" t="s">
        <v>118</v>
      </c>
      <c r="B8" s="2" t="s">
        <v>169</v>
      </c>
      <c r="C8" s="2" t="n">
        <v>10</v>
      </c>
      <c r="D8" s="5" t="s">
        <v>416</v>
      </c>
      <c r="E8" s="2" t="s">
        <v>486</v>
      </c>
    </row>
    <row r="9" customFormat="false" ht="15" hidden="false" customHeight="false" outlineLevel="0" collapsed="false">
      <c r="A9" s="4" t="s">
        <v>85</v>
      </c>
      <c r="B9" s="4" t="s">
        <v>148</v>
      </c>
      <c r="C9" s="4" t="n">
        <v>40</v>
      </c>
      <c r="D9" s="3" t="s">
        <v>487</v>
      </c>
      <c r="E9" s="4" t="s">
        <v>488</v>
      </c>
    </row>
    <row r="10" customFormat="false" ht="15" hidden="false" customHeight="false" outlineLevel="0" collapsed="false">
      <c r="A10" s="2" t="s">
        <v>97</v>
      </c>
      <c r="B10" s="2" t="s">
        <v>157</v>
      </c>
      <c r="C10" s="2" t="n">
        <v>32</v>
      </c>
      <c r="D10" s="3" t="s">
        <v>487</v>
      </c>
      <c r="E10" s="2" t="s">
        <v>489</v>
      </c>
    </row>
    <row r="11" customFormat="false" ht="15" hidden="false" customHeight="false" outlineLevel="0" collapsed="false">
      <c r="A11" s="4" t="s">
        <v>490</v>
      </c>
      <c r="B11" s="4" t="s">
        <v>142</v>
      </c>
      <c r="C11" s="4" t="n">
        <v>36</v>
      </c>
      <c r="D11" s="3" t="s">
        <v>487</v>
      </c>
      <c r="E11" s="4" t="s">
        <v>491</v>
      </c>
    </row>
    <row r="12" customFormat="false" ht="15" hidden="false" customHeight="false" outlineLevel="0" collapsed="false">
      <c r="A12" s="2" t="s">
        <v>492</v>
      </c>
      <c r="B12" s="2" t="s">
        <v>145</v>
      </c>
      <c r="C12" s="2" t="n">
        <v>21</v>
      </c>
      <c r="D12" s="3" t="s">
        <v>487</v>
      </c>
      <c r="E12" s="2" t="s">
        <v>493</v>
      </c>
    </row>
    <row r="13" customFormat="false" ht="15" hidden="false" customHeight="false" outlineLevel="0" collapsed="false">
      <c r="A13" s="4" t="s">
        <v>152</v>
      </c>
      <c r="B13" s="4" t="s">
        <v>151</v>
      </c>
      <c r="C13" s="4" t="n">
        <v>18</v>
      </c>
      <c r="D13" s="3" t="s">
        <v>487</v>
      </c>
      <c r="E13" s="4" t="s">
        <v>494</v>
      </c>
    </row>
    <row r="14" customFormat="false" ht="15" hidden="false" customHeight="false" outlineLevel="0" collapsed="false">
      <c r="A14" s="2" t="s">
        <v>115</v>
      </c>
      <c r="B14" s="2" t="s">
        <v>495</v>
      </c>
      <c r="C14" s="2" t="n">
        <v>0</v>
      </c>
      <c r="D14" s="7" t="s">
        <v>460</v>
      </c>
      <c r="E14" s="2" t="s">
        <v>496</v>
      </c>
    </row>
    <row r="15" customFormat="false" ht="23.85" hidden="false" customHeight="false" outlineLevel="0" collapsed="false">
      <c r="A15" s="4" t="s">
        <v>103</v>
      </c>
      <c r="B15" s="4" t="s">
        <v>495</v>
      </c>
      <c r="C15" s="4" t="n">
        <v>0</v>
      </c>
      <c r="D15" s="7" t="s">
        <v>460</v>
      </c>
      <c r="E15" s="4" t="s">
        <v>497</v>
      </c>
    </row>
    <row r="16" customFormat="false" ht="15" hidden="false" customHeight="false" outlineLevel="0" collapsed="false">
      <c r="A16" s="2" t="s">
        <v>88</v>
      </c>
      <c r="B16" s="2" t="s">
        <v>495</v>
      </c>
      <c r="C16" s="2" t="n">
        <v>0</v>
      </c>
      <c r="D16" s="7" t="s">
        <v>460</v>
      </c>
      <c r="E16" s="2" t="s">
        <v>498</v>
      </c>
    </row>
    <row r="17" customFormat="false" ht="15" hidden="false" customHeight="false" outlineLevel="0" collapsed="false">
      <c r="A17" s="4" t="s">
        <v>79</v>
      </c>
      <c r="B17" s="4" t="s">
        <v>495</v>
      </c>
      <c r="C17" s="4" t="n">
        <v>0</v>
      </c>
      <c r="D17" s="7" t="s">
        <v>460</v>
      </c>
      <c r="E17" s="4" t="s">
        <v>499</v>
      </c>
    </row>
    <row r="18" customFormat="false" ht="15" hidden="false" customHeight="false" outlineLevel="0" collapsed="false">
      <c r="A18" s="2" t="s">
        <v>82</v>
      </c>
      <c r="B18" s="2" t="s">
        <v>495</v>
      </c>
      <c r="C18" s="2" t="n">
        <v>0</v>
      </c>
      <c r="D18" s="7" t="s">
        <v>460</v>
      </c>
      <c r="E18" s="2" t="s">
        <v>499</v>
      </c>
    </row>
    <row r="19" customFormat="false" ht="15" hidden="false" customHeight="false" outlineLevel="0" collapsed="false">
      <c r="A19" s="4" t="s">
        <v>100</v>
      </c>
      <c r="B19" s="4" t="s">
        <v>495</v>
      </c>
      <c r="C19" s="4" t="n">
        <v>0</v>
      </c>
      <c r="D19" s="7" t="s">
        <v>460</v>
      </c>
      <c r="E19" s="4" t="s">
        <v>499</v>
      </c>
    </row>
    <row r="20" customFormat="false" ht="15" hidden="false" customHeight="false" outlineLevel="0" collapsed="false">
      <c r="A20" s="2" t="s">
        <v>121</v>
      </c>
      <c r="B20" s="2" t="s">
        <v>495</v>
      </c>
      <c r="C20" s="2" t="n">
        <v>0</v>
      </c>
      <c r="D20" s="7" t="s">
        <v>460</v>
      </c>
      <c r="E20" s="2" t="s">
        <v>499</v>
      </c>
    </row>
    <row r="21" customFormat="false" ht="15" hidden="false" customHeight="false" outlineLevel="0" collapsed="false">
      <c r="A21" s="4" t="s">
        <v>73</v>
      </c>
      <c r="B21" s="4" t="s">
        <v>495</v>
      </c>
      <c r="C21" s="4" t="n">
        <v>0</v>
      </c>
      <c r="D21" s="7" t="s">
        <v>460</v>
      </c>
      <c r="E21" s="4" t="s">
        <v>499</v>
      </c>
    </row>
    <row r="22" customFormat="false" ht="15" hidden="false" customHeight="false" outlineLevel="0" collapsed="false">
      <c r="A22" s="2" t="s">
        <v>94</v>
      </c>
      <c r="B22" s="2" t="s">
        <v>495</v>
      </c>
      <c r="C22" s="2" t="n">
        <v>0</v>
      </c>
      <c r="D22" s="7" t="s">
        <v>460</v>
      </c>
      <c r="E22" s="2" t="s">
        <v>500</v>
      </c>
    </row>
    <row r="23" customFormat="false" ht="15" hidden="false" customHeight="false" outlineLevel="0" collapsed="false">
      <c r="A23" s="4" t="s">
        <v>127</v>
      </c>
      <c r="B23" s="4" t="s">
        <v>495</v>
      </c>
      <c r="C23" s="4" t="n">
        <v>0</v>
      </c>
      <c r="D23" s="7" t="s">
        <v>460</v>
      </c>
      <c r="E23" s="4" t="s">
        <v>501</v>
      </c>
    </row>
    <row r="24" customFormat="false" ht="15" hidden="false" customHeight="false" outlineLevel="0" collapsed="false">
      <c r="A24" s="2" t="s">
        <v>31</v>
      </c>
      <c r="B24" s="2" t="s">
        <v>495</v>
      </c>
      <c r="C24" s="2" t="n">
        <v>0</v>
      </c>
      <c r="D24" s="7" t="s">
        <v>460</v>
      </c>
      <c r="E24" s="2" t="s">
        <v>502</v>
      </c>
    </row>
    <row r="25" customFormat="false" ht="15" hidden="false" customHeight="false" outlineLevel="0" collapsed="false">
      <c r="A25" s="4" t="s">
        <v>20</v>
      </c>
      <c r="B25" s="4" t="s">
        <v>495</v>
      </c>
      <c r="C25" s="4" t="n">
        <v>0</v>
      </c>
      <c r="D25" s="7" t="s">
        <v>460</v>
      </c>
      <c r="E25" s="4" t="s">
        <v>503</v>
      </c>
    </row>
    <row r="26" customFormat="false" ht="15" hidden="false" customHeight="false" outlineLevel="0" collapsed="false">
      <c r="A26" s="2" t="s">
        <v>17</v>
      </c>
      <c r="B26" s="2" t="s">
        <v>495</v>
      </c>
      <c r="C26" s="2" t="n">
        <v>0</v>
      </c>
      <c r="D26" s="7" t="s">
        <v>460</v>
      </c>
      <c r="E26" s="2" t="s">
        <v>504</v>
      </c>
    </row>
    <row r="27" customFormat="false" ht="15" hidden="false" customHeight="false" outlineLevel="0" collapsed="false">
      <c r="A27" s="6" t="s">
        <v>171</v>
      </c>
      <c r="C27" s="6" t="n">
        <f aca="false">SUM(C2:C26)</f>
        <v>221</v>
      </c>
      <c r="D27" s="6" t="str">
        <f aca="false">COUNTIF(D2:D26,"*İyi*")&amp;" İyi / "&amp;COUNTIF(D2:D26,"*Yeterli*")&amp;" Yeterli / "&amp;COUNTIF(D2:D26,"*Kısmi*")&amp;" Kısmi / "&amp;COUNTIF(D2:D26,"*Yok*")&amp;" Yok"</f>
        <v>5 İyi / 1 Yeterli / 6 Kısmi / 13 Yok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172</v>
      </c>
      <c r="B1" s="1" t="s">
        <v>505</v>
      </c>
      <c r="C1" s="1" t="s">
        <v>177</v>
      </c>
      <c r="D1" s="1" t="s">
        <v>506</v>
      </c>
      <c r="E1" s="1" t="s">
        <v>507</v>
      </c>
      <c r="F1" s="1" t="s">
        <v>6</v>
      </c>
    </row>
    <row r="2" customFormat="false" ht="15" hidden="false" customHeight="false" outlineLevel="0" collapsed="false">
      <c r="A2" s="2" t="n">
        <v>1</v>
      </c>
      <c r="B2" s="2" t="s">
        <v>508</v>
      </c>
      <c r="C2" s="2" t="s">
        <v>509</v>
      </c>
      <c r="D2" s="7" t="s">
        <v>510</v>
      </c>
      <c r="E2" s="2" t="s">
        <v>511</v>
      </c>
      <c r="F2" s="7" t="s">
        <v>512</v>
      </c>
    </row>
    <row r="3" customFormat="false" ht="15" hidden="false" customHeight="false" outlineLevel="0" collapsed="false">
      <c r="A3" s="4" t="n">
        <v>2</v>
      </c>
      <c r="B3" s="4" t="s">
        <v>508</v>
      </c>
      <c r="C3" s="4" t="s">
        <v>513</v>
      </c>
      <c r="D3" s="5" t="s">
        <v>514</v>
      </c>
      <c r="E3" s="4" t="s">
        <v>515</v>
      </c>
      <c r="F3" s="7" t="s">
        <v>512</v>
      </c>
    </row>
    <row r="4" customFormat="false" ht="15" hidden="false" customHeight="false" outlineLevel="0" collapsed="false">
      <c r="A4" s="2" t="n">
        <v>3</v>
      </c>
      <c r="B4" s="2" t="s">
        <v>508</v>
      </c>
      <c r="C4" s="2" t="s">
        <v>516</v>
      </c>
      <c r="D4" s="2" t="s">
        <v>517</v>
      </c>
      <c r="E4" s="2" t="s">
        <v>518</v>
      </c>
      <c r="F4" s="5" t="s">
        <v>519</v>
      </c>
    </row>
    <row r="5" customFormat="false" ht="15" hidden="false" customHeight="false" outlineLevel="0" collapsed="false">
      <c r="A5" s="4" t="n">
        <v>4</v>
      </c>
      <c r="B5" s="4" t="s">
        <v>508</v>
      </c>
      <c r="C5" s="4" t="s">
        <v>520</v>
      </c>
      <c r="D5" s="4" t="s">
        <v>517</v>
      </c>
      <c r="E5" s="4" t="s">
        <v>521</v>
      </c>
      <c r="F5" s="5" t="s">
        <v>519</v>
      </c>
    </row>
    <row r="6" customFormat="false" ht="23.85" hidden="false" customHeight="false" outlineLevel="0" collapsed="false">
      <c r="A6" s="2" t="n">
        <v>5</v>
      </c>
      <c r="B6" s="2" t="s">
        <v>508</v>
      </c>
      <c r="C6" s="2" t="s">
        <v>522</v>
      </c>
      <c r="D6" s="8" t="s">
        <v>523</v>
      </c>
      <c r="E6" s="2" t="s">
        <v>524</v>
      </c>
      <c r="F6" s="5" t="s">
        <v>519</v>
      </c>
    </row>
    <row r="7" customFormat="false" ht="23.85" hidden="false" customHeight="false" outlineLevel="0" collapsed="false">
      <c r="A7" s="4" t="n">
        <v>6</v>
      </c>
      <c r="B7" s="4" t="s">
        <v>525</v>
      </c>
      <c r="C7" s="4" t="s">
        <v>526</v>
      </c>
      <c r="D7" s="7" t="s">
        <v>510</v>
      </c>
      <c r="E7" s="4" t="s">
        <v>527</v>
      </c>
      <c r="F7" s="7" t="s">
        <v>512</v>
      </c>
    </row>
    <row r="8" customFormat="false" ht="15" hidden="false" customHeight="false" outlineLevel="0" collapsed="false">
      <c r="A8" s="2" t="n">
        <v>7</v>
      </c>
      <c r="B8" s="2" t="s">
        <v>525</v>
      </c>
      <c r="C8" s="2" t="s">
        <v>528</v>
      </c>
      <c r="D8" s="7" t="s">
        <v>510</v>
      </c>
      <c r="E8" s="2" t="s">
        <v>529</v>
      </c>
      <c r="F8" s="7" t="s">
        <v>512</v>
      </c>
    </row>
    <row r="9" customFormat="false" ht="15" hidden="false" customHeight="false" outlineLevel="0" collapsed="false">
      <c r="A9" s="4" t="n">
        <v>8</v>
      </c>
      <c r="B9" s="4" t="s">
        <v>525</v>
      </c>
      <c r="C9" s="4" t="s">
        <v>530</v>
      </c>
      <c r="D9" s="5" t="s">
        <v>514</v>
      </c>
      <c r="E9" s="4" t="s">
        <v>531</v>
      </c>
      <c r="F9" s="7" t="s">
        <v>512</v>
      </c>
    </row>
    <row r="10" customFormat="false" ht="23.85" hidden="false" customHeight="false" outlineLevel="0" collapsed="false">
      <c r="A10" s="2" t="n">
        <v>9</v>
      </c>
      <c r="B10" s="2" t="s">
        <v>525</v>
      </c>
      <c r="C10" s="2" t="s">
        <v>532</v>
      </c>
      <c r="D10" s="8" t="s">
        <v>523</v>
      </c>
      <c r="E10" s="2" t="s">
        <v>533</v>
      </c>
      <c r="F10" s="5" t="s">
        <v>519</v>
      </c>
    </row>
    <row r="11" customFormat="false" ht="15" hidden="false" customHeight="false" outlineLevel="0" collapsed="false">
      <c r="A11" s="4" t="n">
        <v>10</v>
      </c>
      <c r="B11" s="4" t="s">
        <v>534</v>
      </c>
      <c r="C11" s="4" t="s">
        <v>535</v>
      </c>
      <c r="D11" s="5" t="s">
        <v>514</v>
      </c>
      <c r="E11" s="4" t="s">
        <v>536</v>
      </c>
      <c r="F11" s="7" t="s">
        <v>512</v>
      </c>
    </row>
    <row r="12" customFormat="false" ht="15" hidden="false" customHeight="false" outlineLevel="0" collapsed="false">
      <c r="A12" s="2" t="n">
        <v>11</v>
      </c>
      <c r="B12" s="2" t="s">
        <v>534</v>
      </c>
      <c r="C12" s="2" t="s">
        <v>537</v>
      </c>
      <c r="D12" s="5" t="s">
        <v>514</v>
      </c>
      <c r="E12" s="2" t="s">
        <v>538</v>
      </c>
      <c r="F12" s="7" t="s">
        <v>512</v>
      </c>
    </row>
    <row r="13" customFormat="false" ht="15" hidden="false" customHeight="false" outlineLevel="0" collapsed="false">
      <c r="A13" s="4" t="n">
        <v>12</v>
      </c>
      <c r="B13" s="4" t="s">
        <v>534</v>
      </c>
      <c r="C13" s="4" t="s">
        <v>539</v>
      </c>
      <c r="D13" s="5" t="s">
        <v>514</v>
      </c>
      <c r="E13" s="4" t="s">
        <v>540</v>
      </c>
      <c r="F13" s="7" t="s">
        <v>512</v>
      </c>
    </row>
    <row r="14" customFormat="false" ht="15" hidden="false" customHeight="false" outlineLevel="0" collapsed="false">
      <c r="A14" s="2" t="n">
        <v>13</v>
      </c>
      <c r="B14" s="2" t="s">
        <v>534</v>
      </c>
      <c r="C14" s="2" t="s">
        <v>541</v>
      </c>
      <c r="D14" s="5" t="s">
        <v>514</v>
      </c>
      <c r="E14" s="2" t="s">
        <v>542</v>
      </c>
      <c r="F14" s="7" t="s">
        <v>512</v>
      </c>
    </row>
    <row r="15" customFormat="false" ht="15" hidden="false" customHeight="false" outlineLevel="0" collapsed="false">
      <c r="A15" s="4" t="n">
        <v>14</v>
      </c>
      <c r="B15" s="4" t="s">
        <v>534</v>
      </c>
      <c r="C15" s="4" t="s">
        <v>543</v>
      </c>
      <c r="D15" s="8" t="s">
        <v>523</v>
      </c>
      <c r="E15" s="4" t="s">
        <v>544</v>
      </c>
      <c r="F15" s="7" t="s">
        <v>512</v>
      </c>
    </row>
    <row r="16" customFormat="false" ht="15" hidden="false" customHeight="false" outlineLevel="0" collapsed="false">
      <c r="A16" s="2" t="n">
        <v>15</v>
      </c>
      <c r="B16" s="2" t="s">
        <v>534</v>
      </c>
      <c r="C16" s="2" t="s">
        <v>545</v>
      </c>
      <c r="D16" s="2" t="s">
        <v>517</v>
      </c>
      <c r="E16" s="2" t="s">
        <v>546</v>
      </c>
      <c r="F16" s="5" t="s">
        <v>519</v>
      </c>
    </row>
    <row r="17" customFormat="false" ht="15" hidden="false" customHeight="false" outlineLevel="0" collapsed="false">
      <c r="A17" s="4" t="n">
        <v>16</v>
      </c>
      <c r="B17" s="4" t="s">
        <v>534</v>
      </c>
      <c r="C17" s="4" t="s">
        <v>547</v>
      </c>
      <c r="D17" s="8" t="s">
        <v>523</v>
      </c>
      <c r="E17" s="4" t="s">
        <v>548</v>
      </c>
      <c r="F17" s="7" t="s">
        <v>512</v>
      </c>
    </row>
    <row r="18" customFormat="false" ht="15" hidden="false" customHeight="false" outlineLevel="0" collapsed="false">
      <c r="A18" s="2" t="n">
        <v>17</v>
      </c>
      <c r="B18" s="2" t="s">
        <v>534</v>
      </c>
      <c r="C18" s="2" t="s">
        <v>549</v>
      </c>
      <c r="D18" s="8" t="s">
        <v>523</v>
      </c>
      <c r="E18" s="2" t="s">
        <v>550</v>
      </c>
      <c r="F18" s="7" t="s">
        <v>512</v>
      </c>
    </row>
    <row r="19" customFormat="false" ht="15" hidden="false" customHeight="false" outlineLevel="0" collapsed="false">
      <c r="A19" s="4" t="n">
        <v>18</v>
      </c>
      <c r="B19" s="4" t="s">
        <v>551</v>
      </c>
      <c r="C19" s="4" t="s">
        <v>552</v>
      </c>
      <c r="D19" s="8" t="s">
        <v>523</v>
      </c>
      <c r="E19" s="4" t="s">
        <v>553</v>
      </c>
      <c r="F19" s="7" t="s">
        <v>512</v>
      </c>
    </row>
    <row r="20" customFormat="false" ht="15" hidden="false" customHeight="false" outlineLevel="0" collapsed="false">
      <c r="A20" s="2" t="n">
        <v>19</v>
      </c>
      <c r="B20" s="2" t="s">
        <v>551</v>
      </c>
      <c r="C20" s="2" t="s">
        <v>554</v>
      </c>
      <c r="D20" s="8" t="s">
        <v>523</v>
      </c>
      <c r="E20" s="2" t="s">
        <v>555</v>
      </c>
      <c r="F20" s="7" t="s">
        <v>512</v>
      </c>
    </row>
    <row r="21" customFormat="false" ht="15" hidden="false" customHeight="false" outlineLevel="0" collapsed="false">
      <c r="A21" s="4" t="n">
        <v>20</v>
      </c>
      <c r="B21" s="4" t="s">
        <v>551</v>
      </c>
      <c r="C21" s="4" t="s">
        <v>556</v>
      </c>
      <c r="D21" s="4" t="s">
        <v>517</v>
      </c>
      <c r="E21" s="4" t="s">
        <v>557</v>
      </c>
      <c r="F21" s="5" t="s">
        <v>519</v>
      </c>
    </row>
    <row r="22" customFormat="false" ht="15" hidden="false" customHeight="false" outlineLevel="0" collapsed="false">
      <c r="A22" s="2" t="n">
        <v>21</v>
      </c>
      <c r="B22" s="2" t="s">
        <v>558</v>
      </c>
      <c r="C22" s="2" t="s">
        <v>559</v>
      </c>
      <c r="D22" s="8" t="s">
        <v>523</v>
      </c>
      <c r="E22" s="2" t="s">
        <v>560</v>
      </c>
      <c r="F22" s="5" t="s">
        <v>519</v>
      </c>
    </row>
    <row r="23" customFormat="false" ht="15" hidden="false" customHeight="false" outlineLevel="0" collapsed="false">
      <c r="A23" s="4" t="n">
        <v>22</v>
      </c>
      <c r="B23" s="4" t="s">
        <v>558</v>
      </c>
      <c r="C23" s="4" t="s">
        <v>561</v>
      </c>
      <c r="D23" s="4" t="s">
        <v>517</v>
      </c>
      <c r="E23" s="4" t="s">
        <v>562</v>
      </c>
      <c r="F23" s="5" t="s">
        <v>519</v>
      </c>
    </row>
    <row r="24" customFormat="false" ht="15" hidden="false" customHeight="false" outlineLevel="0" collapsed="false">
      <c r="A24" s="2" t="n">
        <v>23</v>
      </c>
      <c r="B24" s="2" t="s">
        <v>563</v>
      </c>
      <c r="C24" s="2" t="s">
        <v>564</v>
      </c>
      <c r="D24" s="2" t="s">
        <v>517</v>
      </c>
      <c r="E24" s="2" t="s">
        <v>565</v>
      </c>
      <c r="F24" s="5" t="s">
        <v>519</v>
      </c>
    </row>
    <row r="25" customFormat="false" ht="15" hidden="false" customHeight="false" outlineLevel="0" collapsed="false">
      <c r="A25" s="4" t="n">
        <v>24</v>
      </c>
      <c r="B25" s="4" t="s">
        <v>566</v>
      </c>
      <c r="C25" s="4" t="s">
        <v>567</v>
      </c>
      <c r="D25" s="8" t="s">
        <v>523</v>
      </c>
      <c r="E25" s="4" t="s">
        <v>568</v>
      </c>
      <c r="F25" s="5" t="s">
        <v>519</v>
      </c>
    </row>
    <row r="26" customFormat="false" ht="23.85" hidden="false" customHeight="false" outlineLevel="0" collapsed="false">
      <c r="A26" s="2" t="n">
        <v>25</v>
      </c>
      <c r="B26" s="2" t="s">
        <v>566</v>
      </c>
      <c r="C26" s="2" t="s">
        <v>569</v>
      </c>
      <c r="D26" s="8" t="s">
        <v>523</v>
      </c>
      <c r="E26" s="2" t="s">
        <v>570</v>
      </c>
      <c r="F26" s="5" t="s">
        <v>519</v>
      </c>
    </row>
    <row r="27" customFormat="false" ht="15" hidden="false" customHeight="false" outlineLevel="0" collapsed="false">
      <c r="B27" s="6" t="s">
        <v>171</v>
      </c>
      <c r="D27" s="6" t="str">
        <f aca="false">COUNTIF(D2:D26,"Kritik")&amp;" Kritik, "&amp;COUNTIF(D2:D26,"Yüksek")&amp;" Yüksek, "&amp;COUNTIF(D2:D26,"Orta")&amp;" Orta, "&amp;COUNTIF(D2:D26,"Düşük")&amp;" Düşük"</f>
        <v>3 Kritik, 6 Yüksek, 10 Orta, 6 Düşük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571</v>
      </c>
      <c r="B1" s="1" t="s">
        <v>572</v>
      </c>
      <c r="C1" s="1" t="s">
        <v>573</v>
      </c>
    </row>
    <row r="2" customFormat="false" ht="15" hidden="false" customHeight="false" outlineLevel="0" collapsed="false">
      <c r="A2" s="2" t="s">
        <v>574</v>
      </c>
      <c r="B2" s="2" t="s">
        <v>575</v>
      </c>
      <c r="C2" s="2" t="s">
        <v>576</v>
      </c>
    </row>
    <row r="3" customFormat="false" ht="15" hidden="false" customHeight="false" outlineLevel="0" collapsed="false">
      <c r="A3" s="4" t="s">
        <v>577</v>
      </c>
      <c r="B3" s="4" t="s">
        <v>578</v>
      </c>
      <c r="C3" s="4" t="s">
        <v>579</v>
      </c>
    </row>
    <row r="4" customFormat="false" ht="15" hidden="false" customHeight="false" outlineLevel="0" collapsed="false">
      <c r="A4" s="2"/>
      <c r="B4" s="2"/>
      <c r="C4" s="2"/>
    </row>
    <row r="5" customFormat="false" ht="15" hidden="false" customHeight="false" outlineLevel="0" collapsed="false">
      <c r="A5" s="9" t="s">
        <v>580</v>
      </c>
      <c r="B5" s="4"/>
      <c r="C5" s="4"/>
    </row>
    <row r="6" customFormat="false" ht="15" hidden="false" customHeight="false" outlineLevel="0" collapsed="false">
      <c r="A6" s="2" t="s">
        <v>581</v>
      </c>
      <c r="B6" s="2" t="n">
        <v>52</v>
      </c>
      <c r="C6" s="2" t="s">
        <v>582</v>
      </c>
    </row>
    <row r="7" customFormat="false" ht="15" hidden="false" customHeight="false" outlineLevel="0" collapsed="false">
      <c r="A7" s="4" t="s">
        <v>583</v>
      </c>
      <c r="B7" s="4" t="n">
        <v>39</v>
      </c>
      <c r="C7" s="4" t="s">
        <v>584</v>
      </c>
    </row>
    <row r="8" customFormat="false" ht="15" hidden="false" customHeight="false" outlineLevel="0" collapsed="false">
      <c r="A8" s="2" t="s">
        <v>585</v>
      </c>
      <c r="B8" s="2" t="n">
        <v>13</v>
      </c>
      <c r="C8" s="2" t="s">
        <v>586</v>
      </c>
    </row>
    <row r="9" customFormat="false" ht="15" hidden="false" customHeight="false" outlineLevel="0" collapsed="false">
      <c r="A9" s="4" t="s">
        <v>587</v>
      </c>
      <c r="B9" s="4" t="n">
        <v>11</v>
      </c>
      <c r="C9" s="4" t="s">
        <v>588</v>
      </c>
    </row>
    <row r="10" customFormat="false" ht="15" hidden="false" customHeight="false" outlineLevel="0" collapsed="false">
      <c r="A10" s="2" t="s">
        <v>589</v>
      </c>
      <c r="B10" s="2" t="n">
        <v>63</v>
      </c>
      <c r="C10" s="2" t="s">
        <v>590</v>
      </c>
    </row>
    <row r="11" customFormat="false" ht="15" hidden="false" customHeight="false" outlineLevel="0" collapsed="false">
      <c r="A11" s="4"/>
      <c r="B11" s="4"/>
      <c r="C11" s="4"/>
    </row>
    <row r="12" customFormat="false" ht="15" hidden="false" customHeight="false" outlineLevel="0" collapsed="false">
      <c r="A12" s="10" t="s">
        <v>591</v>
      </c>
      <c r="B12" s="2"/>
      <c r="C12" s="2"/>
    </row>
    <row r="13" customFormat="false" ht="15" hidden="false" customHeight="false" outlineLevel="0" collapsed="false">
      <c r="A13" s="4" t="s">
        <v>592</v>
      </c>
      <c r="B13" s="4" t="n">
        <f aca="false">'Modül Durumu'!C55</f>
        <v>35719</v>
      </c>
      <c r="C13" s="4" t="s">
        <v>593</v>
      </c>
    </row>
    <row r="14" customFormat="false" ht="15" hidden="false" customHeight="false" outlineLevel="0" collapsed="false">
      <c r="A14" s="2" t="s">
        <v>594</v>
      </c>
      <c r="B14" s="2" t="n">
        <v>28647</v>
      </c>
      <c r="C14" s="2" t="s">
        <v>595</v>
      </c>
    </row>
    <row r="15" customFormat="false" ht="15" hidden="false" customHeight="false" outlineLevel="0" collapsed="false">
      <c r="A15" s="4" t="s">
        <v>596</v>
      </c>
      <c r="B15" s="4" t="n">
        <v>5951</v>
      </c>
      <c r="C15" s="4" t="s">
        <v>597</v>
      </c>
    </row>
    <row r="16" customFormat="false" ht="15" hidden="false" customHeight="false" outlineLevel="0" collapsed="false">
      <c r="A16" s="2" t="s">
        <v>598</v>
      </c>
      <c r="B16" s="2" t="str">
        <f aca="false">ROUND(B15/B14*100,1)&amp;"%"</f>
        <v>20.8%</v>
      </c>
      <c r="C16" s="2" t="s">
        <v>593</v>
      </c>
    </row>
    <row r="17" customFormat="false" ht="15" hidden="false" customHeight="false" outlineLevel="0" collapsed="false">
      <c r="A17" s="4" t="s">
        <v>599</v>
      </c>
      <c r="B17" s="4" t="n">
        <f aca="false">ROUND(B14/39,0)</f>
        <v>735</v>
      </c>
      <c r="C17" s="4" t="s">
        <v>593</v>
      </c>
    </row>
    <row r="18" customFormat="false" ht="15" hidden="false" customHeight="false" outlineLevel="0" collapsed="false">
      <c r="A18" s="2" t="s">
        <v>600</v>
      </c>
      <c r="B18" s="2" t="s">
        <v>601</v>
      </c>
      <c r="C18" s="2" t="s">
        <v>602</v>
      </c>
    </row>
    <row r="19" customFormat="false" ht="15" hidden="false" customHeight="false" outlineLevel="0" collapsed="false">
      <c r="A19" s="4" t="s">
        <v>603</v>
      </c>
      <c r="B19" s="4" t="s">
        <v>9</v>
      </c>
      <c r="C19" s="4" t="s">
        <v>604</v>
      </c>
    </row>
    <row r="20" customFormat="false" ht="15" hidden="false" customHeight="false" outlineLevel="0" collapsed="false">
      <c r="A20" s="2"/>
      <c r="B20" s="2"/>
      <c r="C20" s="2"/>
    </row>
    <row r="21" customFormat="false" ht="15" hidden="false" customHeight="false" outlineLevel="0" collapsed="false">
      <c r="A21" s="9" t="s">
        <v>605</v>
      </c>
      <c r="B21" s="4"/>
      <c r="C21" s="4"/>
    </row>
    <row r="22" customFormat="false" ht="15" hidden="false" customHeight="false" outlineLevel="0" collapsed="false">
      <c r="A22" s="2" t="s">
        <v>606</v>
      </c>
      <c r="B22" s="2" t="n">
        <f aca="false">COUNTA('API Endpoint''leri'!B2:B77)</f>
        <v>75</v>
      </c>
      <c r="C22" s="2" t="s">
        <v>593</v>
      </c>
    </row>
    <row r="23" customFormat="false" ht="15" hidden="false" customHeight="false" outlineLevel="0" collapsed="false">
      <c r="A23" s="4" t="s">
        <v>607</v>
      </c>
      <c r="B23" s="4" t="n">
        <f aca="false">COUNTIF('API Endpoint''leri'!C2:C77,"GET")</f>
        <v>40</v>
      </c>
      <c r="C23" s="4" t="s">
        <v>593</v>
      </c>
    </row>
    <row r="24" customFormat="false" ht="15" hidden="false" customHeight="false" outlineLevel="0" collapsed="false">
      <c r="A24" s="2" t="s">
        <v>608</v>
      </c>
      <c r="B24" s="2" t="n">
        <f aca="false">COUNTIF('API Endpoint''leri'!C2:C77,"POST")</f>
        <v>28</v>
      </c>
      <c r="C24" s="2" t="s">
        <v>593</v>
      </c>
    </row>
    <row r="25" customFormat="false" ht="15" hidden="false" customHeight="false" outlineLevel="0" collapsed="false">
      <c r="A25" s="4" t="s">
        <v>609</v>
      </c>
      <c r="B25" s="4" t="n">
        <f aca="false">COUNTIF('API Endpoint''leri'!C2:C77,"PUT")</f>
        <v>1</v>
      </c>
      <c r="C25" s="4" t="s">
        <v>593</v>
      </c>
    </row>
    <row r="26" customFormat="false" ht="15" hidden="false" customHeight="false" outlineLevel="0" collapsed="false">
      <c r="A26" s="2" t="s">
        <v>610</v>
      </c>
      <c r="B26" s="2" t="n">
        <f aca="false">COUNTIF('API Endpoint''leri'!C2:C77,"DELETE")</f>
        <v>5</v>
      </c>
      <c r="C26" s="2" t="s">
        <v>593</v>
      </c>
    </row>
    <row r="27" customFormat="false" ht="15" hidden="false" customHeight="false" outlineLevel="0" collapsed="false">
      <c r="A27" s="4" t="s">
        <v>611</v>
      </c>
      <c r="B27" s="4" t="n">
        <v>9</v>
      </c>
      <c r="C27" s="4" t="s">
        <v>612</v>
      </c>
    </row>
    <row r="28" customFormat="false" ht="15" hidden="false" customHeight="false" outlineLevel="0" collapsed="false">
      <c r="A28" s="2"/>
      <c r="B28" s="2"/>
      <c r="C28" s="2"/>
    </row>
    <row r="29" customFormat="false" ht="15" hidden="false" customHeight="false" outlineLevel="0" collapsed="false">
      <c r="A29" s="9" t="s">
        <v>613</v>
      </c>
      <c r="B29" s="4"/>
      <c r="C29" s="4"/>
    </row>
    <row r="30" customFormat="false" ht="15" hidden="false" customHeight="false" outlineLevel="0" collapsed="false">
      <c r="A30" s="2" t="s">
        <v>614</v>
      </c>
      <c r="B30" s="2" t="n">
        <f aca="false">SUM('Test Kapsamı'!C2:C26)</f>
        <v>221</v>
      </c>
      <c r="C30" s="2" t="s">
        <v>593</v>
      </c>
    </row>
    <row r="31" customFormat="false" ht="15" hidden="false" customHeight="false" outlineLevel="0" collapsed="false">
      <c r="A31" s="4" t="s">
        <v>615</v>
      </c>
      <c r="B31" s="4" t="n">
        <v>12</v>
      </c>
      <c r="C31" s="4" t="s">
        <v>616</v>
      </c>
    </row>
    <row r="32" customFormat="false" ht="23.85" hidden="false" customHeight="false" outlineLevel="0" collapsed="false">
      <c r="A32" s="2" t="s">
        <v>617</v>
      </c>
      <c r="B32" s="2" t="n">
        <v>5</v>
      </c>
      <c r="C32" s="2" t="s">
        <v>618</v>
      </c>
    </row>
    <row r="33" customFormat="false" ht="15" hidden="false" customHeight="false" outlineLevel="0" collapsed="false">
      <c r="A33" s="4"/>
      <c r="B33" s="4"/>
      <c r="C33" s="4"/>
    </row>
    <row r="34" customFormat="false" ht="15" hidden="false" customHeight="false" outlineLevel="0" collapsed="false">
      <c r="A34" s="10" t="s">
        <v>619</v>
      </c>
      <c r="B34" s="2"/>
      <c r="C34" s="2"/>
    </row>
    <row r="35" customFormat="false" ht="15" hidden="false" customHeight="false" outlineLevel="0" collapsed="false">
      <c r="A35" s="4" t="s">
        <v>620</v>
      </c>
      <c r="B35" s="4" t="n">
        <v>17</v>
      </c>
      <c r="C35" s="4" t="s">
        <v>621</v>
      </c>
    </row>
    <row r="36" customFormat="false" ht="15" hidden="false" customHeight="false" outlineLevel="0" collapsed="false">
      <c r="A36" s="2" t="s">
        <v>622</v>
      </c>
      <c r="B36" s="2" t="n">
        <v>2</v>
      </c>
      <c r="C36" s="2" t="s">
        <v>623</v>
      </c>
    </row>
    <row r="37" customFormat="false" ht="15" hidden="false" customHeight="false" outlineLevel="0" collapsed="false">
      <c r="A37" s="4" t="s">
        <v>624</v>
      </c>
      <c r="B37" s="4" t="n">
        <v>2</v>
      </c>
      <c r="C37" s="4" t="s">
        <v>625</v>
      </c>
    </row>
    <row r="38" customFormat="false" ht="15" hidden="false" customHeight="false" outlineLevel="0" collapsed="false">
      <c r="A38" s="2" t="s">
        <v>626</v>
      </c>
      <c r="B38" s="2" t="n">
        <v>2</v>
      </c>
      <c r="C38" s="2" t="s">
        <v>627</v>
      </c>
    </row>
    <row r="39" customFormat="false" ht="15" hidden="false" customHeight="false" outlineLevel="0" collapsed="false">
      <c r="A39" s="4"/>
      <c r="B39" s="4"/>
      <c r="C39" s="4"/>
    </row>
    <row r="40" customFormat="false" ht="15" hidden="false" customHeight="false" outlineLevel="0" collapsed="false">
      <c r="A40" s="10" t="s">
        <v>628</v>
      </c>
      <c r="B40" s="2" t="n">
        <f aca="false">COUNTA('Eksikler ve Sorunlar'!B2:B26)</f>
        <v>25</v>
      </c>
      <c r="C40" s="2"/>
    </row>
    <row r="41" customFormat="false" ht="15" hidden="false" customHeight="false" outlineLevel="0" collapsed="false">
      <c r="A41" s="4" t="s">
        <v>629</v>
      </c>
      <c r="B41" s="4" t="n">
        <f aca="false">COUNTIF('Eksikler ve Sorunlar'!D2:D26,"Kritik")</f>
        <v>3</v>
      </c>
      <c r="C41" s="4" t="s">
        <v>593</v>
      </c>
    </row>
    <row r="42" customFormat="false" ht="15" hidden="false" customHeight="false" outlineLevel="0" collapsed="false">
      <c r="A42" s="2" t="s">
        <v>630</v>
      </c>
      <c r="B42" s="2" t="n">
        <f aca="false">COUNTIF('Eksikler ve Sorunlar'!D2:D26,"Yüksek")</f>
        <v>6</v>
      </c>
      <c r="C42" s="2" t="s">
        <v>593</v>
      </c>
    </row>
    <row r="43" customFormat="false" ht="15" hidden="false" customHeight="false" outlineLevel="0" collapsed="false">
      <c r="A43" s="4" t="s">
        <v>631</v>
      </c>
      <c r="B43" s="4" t="n">
        <f aca="false">COUNTIF('Eksikler ve Sorunlar'!D2:D26,"Orta")</f>
        <v>10</v>
      </c>
      <c r="C43" s="4" t="s">
        <v>593</v>
      </c>
    </row>
    <row r="44" customFormat="false" ht="15" hidden="false" customHeight="false" outlineLevel="0" collapsed="false">
      <c r="A44" s="2" t="s">
        <v>632</v>
      </c>
      <c r="B44" s="2" t="n">
        <f aca="false">COUNTIF('Eksikler ve Sorunlar'!D2:D26,"Düşük")</f>
        <v>6</v>
      </c>
      <c r="C44" s="2" t="s">
        <v>593</v>
      </c>
    </row>
    <row r="45" customFormat="false" ht="15" hidden="false" customHeight="false" outlineLevel="0" collapsed="false">
      <c r="A45" s="4" t="s">
        <v>633</v>
      </c>
      <c r="B45" s="4"/>
      <c r="C45" s="4" t="s">
        <v>593</v>
      </c>
    </row>
    <row r="46" customFormat="false" ht="15" hidden="false" customHeight="false" outlineLevel="0" collapsed="false">
      <c r="A46" s="2" t="s">
        <v>634</v>
      </c>
      <c r="B46" s="2" t="n">
        <v>0</v>
      </c>
      <c r="C46" s="2" t="s">
        <v>635</v>
      </c>
    </row>
  </sheetData>
  <autoFilter ref="A1:C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2026-03-29T09:54:38Z</dcterms:created>
  <dc:creator>openpyxl</dc:creator>
  <dc:description/>
  <dc:language>en-US</dc:language>
  <cp:lastModifiedBy/>
  <dcterms:modified xsi:type="dcterms:W3CDTF">2026-03-29T09:54:38Z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